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sszefoglaló" sheetId="1" state="visible" r:id="rId3"/>
    <sheet name="Cloud integráció" sheetId="2" state="visible" r:id="rId4"/>
    <sheet name="Webfejlesztés" sheetId="3" state="visible" r:id="rId5"/>
    <sheet name="Tanácsadá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<sst xmlns="http://schemas.openxmlformats.org/spreadsheetml/2006/main" count="482" uniqueCount="130">
  <si>
    <t xml:space="preserve">Aurora Dynamics Kft. – 2025. évi összesített bevételi és kiadási jelentés</t>
  </si>
  <si>
    <t xml:space="preserve">Szolgáltatásonkénti és negyedéves bontás – a részletes tételek a megfelelő munkalapokon találhatók</t>
  </si>
  <si>
    <t xml:space="preserve">2025. évi teljes bevétel</t>
  </si>
  <si>
    <t xml:space="preserve">2025. évi teljes kiadás</t>
  </si>
  <si>
    <t xml:space="preserve">2025. évi eredmény</t>
  </si>
  <si>
    <t xml:space="preserve">Eredményhányad</t>
  </si>
  <si>
    <t xml:space="preserve">Negyedév</t>
  </si>
  <si>
    <t xml:space="preserve">Cloud integráció</t>
  </si>
  <si>
    <t xml:space="preserve">Webfejlesztés</t>
  </si>
  <si>
    <t xml:space="preserve">Tanácsadás</t>
  </si>
  <si>
    <t xml:space="preserve">Vállalati összesen</t>
  </si>
  <si>
    <t xml:space="preserve">Bevétel (Ft)</t>
  </si>
  <si>
    <t xml:space="preserve">Kiadás (Ft)</t>
  </si>
  <si>
    <t xml:space="preserve">Eredmény (Ft)</t>
  </si>
  <si>
    <t xml:space="preserve">I. negyedév</t>
  </si>
  <si>
    <t xml:space="preserve">II. negyedév</t>
  </si>
  <si>
    <t xml:space="preserve">III. negyedév</t>
  </si>
  <si>
    <t xml:space="preserve">IV. negyedév</t>
  </si>
  <si>
    <t xml:space="preserve">2025. évi összesen</t>
  </si>
  <si>
    <t xml:space="preserve">Az összefoglaló táblázat minden cellája a három szolgáltatási munkalap negyedéves részösszegeire mutató élő hivatkozás (képlet); a részletes, tételes bontás az adott munkalapokon tekinthető meg.</t>
  </si>
  <si>
    <t xml:space="preserve">Aurora Dynamics Kft. – Bevételi és kiadási jelentés 2025</t>
  </si>
  <si>
    <t xml:space="preserve">Cloud integrációs szolgáltatások (AWS, Azure, GCP)</t>
  </si>
  <si>
    <t xml:space="preserve">Az összegek nettó, forintban (Ft) kifejezett értékek.</t>
  </si>
  <si>
    <t xml:space="preserve">I. negyedév  (2025.01.01 – 2025.03.31)</t>
  </si>
  <si>
    <t xml:space="preserve">Dátum</t>
  </si>
  <si>
    <t xml:space="preserve">Tétel megnevezése</t>
  </si>
  <si>
    <t xml:space="preserve">Partner</t>
  </si>
  <si>
    <t xml:space="preserve">Típus</t>
  </si>
  <si>
    <t xml:space="preserve">Összeg (Ft)</t>
  </si>
  <si>
    <t xml:space="preserve">AWS Landing Zone kialakítása</t>
  </si>
  <si>
    <t xml:space="preserve">Nimbus Trade Kft.</t>
  </si>
  <si>
    <t xml:space="preserve">Bevétel</t>
  </si>
  <si>
    <t xml:space="preserve">Kubernetes fürt kiépítése (EKS)</t>
  </si>
  <si>
    <t xml:space="preserve">Voxel Systems Zrt.</t>
  </si>
  <si>
    <t xml:space="preserve">Havi üzemeltetési támogatás (3 ügyfél)</t>
  </si>
  <si>
    <t xml:space="preserve">Vegyes ügyfélkör</t>
  </si>
  <si>
    <t xml:space="preserve">Terraform/OpenTofu bevezetés</t>
  </si>
  <si>
    <t xml:space="preserve">Delta Cloud Kft.</t>
  </si>
  <si>
    <t xml:space="preserve">Cloud felkészültségi felmérés</t>
  </si>
  <si>
    <t xml:space="preserve">Solaris Trade Kft.</t>
  </si>
  <si>
    <t xml:space="preserve">Bérköltség (DevOps mérnökök, allokált)</t>
  </si>
  <si>
    <t xml:space="preserve">Belső</t>
  </si>
  <si>
    <t xml:space="preserve">Kiadás</t>
  </si>
  <si>
    <t xml:space="preserve">Alvállalkozói díj – biztonsági audit</t>
  </si>
  <si>
    <t xml:space="preserve">KyberGuard Kft.</t>
  </si>
  <si>
    <t xml:space="preserve">Szoftverlicencek (Terraform Cloud, monitoring)</t>
  </si>
  <si>
    <t xml:space="preserve">Vegyes beszállító</t>
  </si>
  <si>
    <t xml:space="preserve">Teszt- és demókörnyezet felhőköltsége</t>
  </si>
  <si>
    <t xml:space="preserve">AWS / Azure / GCP</t>
  </si>
  <si>
    <t xml:space="preserve">I. negyedévi bevétel összesen</t>
  </si>
  <si>
    <t xml:space="preserve">I. negyedévi kiadás összesen</t>
  </si>
  <si>
    <t xml:space="preserve">I. negyedévi eredmény</t>
  </si>
  <si>
    <t xml:space="preserve">II. negyedév  (2025.04.01 – 2025.06.30)</t>
  </si>
  <si>
    <t xml:space="preserve">Landing Zone kialakítása (Azure)</t>
  </si>
  <si>
    <t xml:space="preserve">Prisma Ipari Kft.</t>
  </si>
  <si>
    <t xml:space="preserve">Kubernetes fürt kiépítése (GKE)</t>
  </si>
  <si>
    <t xml:space="preserve">ByteForge Kft.</t>
  </si>
  <si>
    <t xml:space="preserve">Havi üzemeltetési támogatás (4 ügyfél)</t>
  </si>
  <si>
    <t xml:space="preserve">CI/CD pipeline kialakítása (GitOps)</t>
  </si>
  <si>
    <t xml:space="preserve">Biztonsági audit és megfelelőségi felmérés</t>
  </si>
  <si>
    <t xml:space="preserve">Multi-cloud hálózati integráció</t>
  </si>
  <si>
    <t xml:space="preserve">Northline Trade Kft.</t>
  </si>
  <si>
    <t xml:space="preserve">Alvállalkozói díj – hálózati integráció</t>
  </si>
  <si>
    <t xml:space="preserve">NetBridge Kft.</t>
  </si>
  <si>
    <t xml:space="preserve">Szoftverlicencek</t>
  </si>
  <si>
    <t xml:space="preserve">II. negyedévi bevétel összesen</t>
  </si>
  <si>
    <t xml:space="preserve">II. negyedévi kiadás összesen</t>
  </si>
  <si>
    <t xml:space="preserve">II. negyedévi eredmény</t>
  </si>
  <si>
    <t xml:space="preserve">III. negyedév  (2025.07.01 – 2025.09.30)</t>
  </si>
  <si>
    <t xml:space="preserve">Landing Zone kialakítása (GCP)</t>
  </si>
  <si>
    <t xml:space="preserve">Kubernetes fürt kiépítése (AKS)</t>
  </si>
  <si>
    <t xml:space="preserve">Havi üzemeltetési támogatás (5 ügyfél)</t>
  </si>
  <si>
    <t xml:space="preserve">Szolgáltatáshálózat (Service Mesh) bevezetése</t>
  </si>
  <si>
    <t xml:space="preserve">Katasztrófa-helyreállítási tervezés</t>
  </si>
  <si>
    <t xml:space="preserve">Költségoptimalizálási felülvizsgálat (FinOps)</t>
  </si>
  <si>
    <t xml:space="preserve">III. negyedévi bevétel összesen</t>
  </si>
  <si>
    <t xml:space="preserve">III. negyedévi kiadás összesen</t>
  </si>
  <si>
    <t xml:space="preserve">III. negyedévi eredmény</t>
  </si>
  <si>
    <t xml:space="preserve">IV. negyedév  (2025.10.01 – 2025.12.31)</t>
  </si>
  <si>
    <t xml:space="preserve">Landing Zone kialakítása (AWS)</t>
  </si>
  <si>
    <t xml:space="preserve">Aurex Kereskedelmi Zrt.</t>
  </si>
  <si>
    <t xml:space="preserve">Infrastruktúra-mint-kód bevezetés (Terraform)</t>
  </si>
  <si>
    <t xml:space="preserve">Vortex Digital Kft.</t>
  </si>
  <si>
    <t xml:space="preserve">IV. negyedévi bevétel összesen</t>
  </si>
  <si>
    <t xml:space="preserve">IV. negyedévi kiadás összesen</t>
  </si>
  <si>
    <t xml:space="preserve">IV. negyedévi eredmény</t>
  </si>
  <si>
    <t xml:space="preserve">2025. évi összesítés</t>
  </si>
  <si>
    <t xml:space="preserve">2025. évi bevétel összesen</t>
  </si>
  <si>
    <t xml:space="preserve">2025. évi kiadás összesen</t>
  </si>
  <si>
    <t xml:space="preserve">Eredményhányad (eredmény / bevétel)</t>
  </si>
  <si>
    <t xml:space="preserve">Webfejlesztési szolgáltatások</t>
  </si>
  <si>
    <t xml:space="preserve">Bemutatkozó weboldal (landing page)</t>
  </si>
  <si>
    <t xml:space="preserve">Kertész Bt.</t>
  </si>
  <si>
    <t xml:space="preserve">Vállalati weboldal (aloldalakkal)</t>
  </si>
  <si>
    <t xml:space="preserve">Webáruház alapcsomag kialakítása</t>
  </si>
  <si>
    <t xml:space="preserve">GreenLeaf Bio Kft.</t>
  </si>
  <si>
    <t xml:space="preserve">Karbantartási csomag (I. negyedév)</t>
  </si>
  <si>
    <t xml:space="preserve">API fejlesztés és rendszerintegráció</t>
  </si>
  <si>
    <t xml:space="preserve">Bérköltség (fejlesztők, allokált)</t>
  </si>
  <si>
    <t xml:space="preserve">Alvállalkozói díj – dizájn</t>
  </si>
  <si>
    <t xml:space="preserve">PixelCraft Stúdió</t>
  </si>
  <si>
    <t xml:space="preserve">Szoftverlicencek (hosting, CMS)</t>
  </si>
  <si>
    <t xml:space="preserve">Egyedi webalkalmazás fejlesztése (40 óra)</t>
  </si>
  <si>
    <t xml:space="preserve">Karbantartási csomag (II. negyedév)</t>
  </si>
  <si>
    <t xml:space="preserve">Teljesítményoptimalizálás és SEO alapcsomag</t>
  </si>
  <si>
    <t xml:space="preserve">Fizetési és szállítási integráció</t>
  </si>
  <si>
    <t xml:space="preserve">Külső alvállalkozó</t>
  </si>
  <si>
    <t xml:space="preserve">Tartalomkezelő rendszer (CMS) testreszabása</t>
  </si>
  <si>
    <t xml:space="preserve">Karbantartási csomag (III. negyedév)</t>
  </si>
  <si>
    <t xml:space="preserve">Egyedi webalkalmazás fejlesztése (35 óra)</t>
  </si>
  <si>
    <t xml:space="preserve">Egyedi webalkalmazás fejlesztése (45 óra)</t>
  </si>
  <si>
    <t xml:space="preserve">Karbantartási csomag (IV. negyedév)</t>
  </si>
  <si>
    <t xml:space="preserve">Tanácsadási szolgáltatások</t>
  </si>
  <si>
    <t xml:space="preserve">Stratégiai IT-tanácsadás (12 óra)</t>
  </si>
  <si>
    <t xml:space="preserve">Digitális transzformációs felmérés</t>
  </si>
  <si>
    <t xml:space="preserve">Projektmenedzsment tanácsadás (15 óra)</t>
  </si>
  <si>
    <t xml:space="preserve">Vezetői workshop és stratégiai tervezés</t>
  </si>
  <si>
    <t xml:space="preserve">Bérköltség (tanácsadók, allokált)</t>
  </si>
  <si>
    <t xml:space="preserve">Utazási és rezsiköltség</t>
  </si>
  <si>
    <t xml:space="preserve">Vegyes</t>
  </si>
  <si>
    <t xml:space="preserve">Szakmai továbbképzés és tanúsítványok</t>
  </si>
  <si>
    <t xml:space="preserve">Vegyes szolgáltató</t>
  </si>
  <si>
    <t xml:space="preserve">Csapatmentorálás és technikai coaching (1 hó)</t>
  </si>
  <si>
    <t xml:space="preserve">Architektúra-felülvizsgálat</t>
  </si>
  <si>
    <t xml:space="preserve">Folyamatoptimalizálási workshop</t>
  </si>
  <si>
    <t xml:space="preserve">Stratégiai IT-tanácsadás (10 óra)</t>
  </si>
  <si>
    <t xml:space="preserve">Kockázatelemzés és megfelelőségi tanácsadás</t>
  </si>
  <si>
    <t xml:space="preserve">Utókövetéses konzultáció (retainer, 1 hó)</t>
  </si>
  <si>
    <t xml:space="preserve">Stratégiai IT-tanácsadás (14 óra)</t>
  </si>
  <si>
    <t xml:space="preserve">Projektmenedzsment tanácsadás (18 óra)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</si>
</sst>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E]#,##0&quot; Ft&quot;"/>
    <numFmt numFmtId="166" formatCode="[$-40E]00%"/>
    <numFmt numFmtId="167" formatCode="yyyy\.mm\.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C62828"/>
        <bgColor rgb="FF993366"/>
      </patternFill>
    </fill>
    <fill>
      <patternFill patternType="solid">
        <fgColor rgb="FF1F3864"/>
        <bgColor rgb="FF404040"/>
      </patternFill>
    </fill>
    <fill>
      <patternFill patternType="solid">
        <fgColor rgb="FF6A1B9A"/>
        <bgColor rgb="FF800080"/>
      </patternFill>
    </fill>
    <fill>
      <patternFill patternType="solid">
        <fgColor rgb="FFD9E2F3"/>
        <bgColor rgb="FFE2EFDA"/>
      </patternFill>
    </fill>
    <fill>
      <patternFill patternType="solid">
        <fgColor rgb="FF2E5395"/>
        <bgColor rgb="FF1F3864"/>
      </patternFill>
    </fill>
    <fill>
      <patternFill patternType="solid">
        <fgColor rgb="FFE2EFDA"/>
        <bgColor rgb="FFD9E2F3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2E539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8" hidden="false" customHeight="true" outlineLevel="0" collapsed="false">
      <c r="A4" s="3" t="s">
        <v>2</v>
      </c>
      <c r="B4" s="3"/>
      <c r="C4" s="3"/>
      <c r="E4" s="4" t="s">
        <v>3</v>
      </c>
      <c r="F4" s="4"/>
      <c r="G4" s="4"/>
      <c r="I4" s="5" t="s">
        <v>4</v>
      </c>
      <c r="J4" s="5"/>
      <c r="K4" s="5"/>
      <c r="M4" s="6" t="s">
        <v>5</v>
      </c>
      <c r="N4" s="6"/>
      <c r="O4" s="6"/>
    </row>
    <row r="5" customFormat="false" ht="27.75" hidden="false" customHeight="true" outlineLevel="0" collapsed="false">
      <c r="A5" s="7" t="n">
        <f aca="false">'Cloud integráció'!E69+Webfejlesztés!E65+Tanácsadás!E63</f>
        <v>46971500</v>
      </c>
      <c r="B5" s="7"/>
      <c r="C5" s="7"/>
      <c r="E5" s="8" t="n">
        <f aca="false">'Cloud integráció'!E70+Webfejlesztés!E66+Tanácsadás!E64</f>
        <v>23250000</v>
      </c>
      <c r="F5" s="8"/>
      <c r="G5" s="8"/>
      <c r="I5" s="9" t="n">
        <f aca="false">A5-E5</f>
        <v>23721500</v>
      </c>
      <c r="J5" s="9"/>
      <c r="K5" s="9"/>
      <c r="M5" s="10" t="n">
        <f aca="false">I5/A5</f>
        <v>0.505019000883515</v>
      </c>
      <c r="N5" s="10"/>
      <c r="O5" s="10"/>
    </row>
    <row r="7" customFormat="false" ht="19.5" hidden="false" customHeight="true" outlineLevel="0" collapsed="false">
      <c r="A7" s="11" t="s">
        <v>6</v>
      </c>
      <c r="B7" s="11" t="s">
        <v>7</v>
      </c>
      <c r="C7" s="11"/>
      <c r="D7" s="11"/>
      <c r="E7" s="11" t="s">
        <v>8</v>
      </c>
      <c r="F7" s="11"/>
      <c r="G7" s="11"/>
      <c r="H7" s="11" t="s">
        <v>9</v>
      </c>
      <c r="I7" s="11"/>
      <c r="J7" s="11"/>
      <c r="K7" s="11" t="s">
        <v>10</v>
      </c>
      <c r="L7" s="11"/>
      <c r="M7" s="11"/>
    </row>
    <row r="8" customFormat="false" ht="19.5" hidden="false" customHeight="true" outlineLevel="0" collapsed="false">
      <c r="A8" s="11"/>
      <c r="B8" s="11" t="s">
        <v>11</v>
      </c>
      <c r="C8" s="11" t="s">
        <v>12</v>
      </c>
      <c r="D8" s="11" t="s">
        <v>13</v>
      </c>
      <c r="E8" s="11" t="s">
        <v>11</v>
      </c>
      <c r="F8" s="11" t="s">
        <v>12</v>
      </c>
      <c r="G8" s="11" t="s">
        <v>13</v>
      </c>
      <c r="H8" s="11" t="s">
        <v>11</v>
      </c>
      <c r="I8" s="11" t="s">
        <v>12</v>
      </c>
      <c r="J8" s="11" t="s">
        <v>13</v>
      </c>
      <c r="K8" s="11" t="s">
        <v>11</v>
      </c>
      <c r="L8" s="11" t="s">
        <v>12</v>
      </c>
      <c r="M8" s="11" t="s">
        <v>13</v>
      </c>
    </row>
    <row r="9" customFormat="false" ht="18" hidden="false" customHeight="true" outlineLevel="0" collapsed="false">
      <c r="A9" s="12" t="s">
        <v>14</v>
      </c>
      <c r="B9" s="13" t="n">
        <f aca="false">'Cloud integráció'!E16</f>
        <v>5550000</v>
      </c>
      <c r="C9" s="13" t="n">
        <f aca="false">'Cloud integráció'!E17</f>
        <v>2830000</v>
      </c>
      <c r="D9" s="13" t="n">
        <f aca="false">'Cloud integráció'!E18</f>
        <v>2720000</v>
      </c>
      <c r="E9" s="13" t="n">
        <f aca="false">Webfejlesztés!E15</f>
        <v>2545000</v>
      </c>
      <c r="F9" s="13" t="n">
        <f aca="false">Webfejlesztés!E16</f>
        <v>1510000</v>
      </c>
      <c r="G9" s="13" t="n">
        <f aca="false">Webfejlesztés!E17</f>
        <v>1035000</v>
      </c>
      <c r="H9" s="13" t="n">
        <f aca="false">Tanácsadás!E14</f>
        <v>2208500</v>
      </c>
      <c r="I9" s="13" t="n">
        <f aca="false">Tanácsadás!E15</f>
        <v>1155000</v>
      </c>
      <c r="J9" s="13" t="n">
        <f aca="false">Tanácsadás!E16</f>
        <v>1053500</v>
      </c>
      <c r="K9" s="14" t="n">
        <f aca="false">B9+E9+H9</f>
        <v>10303500</v>
      </c>
      <c r="L9" s="14" t="n">
        <f aca="false">C9+F9+I9</f>
        <v>5495000</v>
      </c>
      <c r="M9" s="14" t="n">
        <f aca="false">D9+G9+J9</f>
        <v>4808500</v>
      </c>
    </row>
    <row r="10" customFormat="false" ht="18" hidden="false" customHeight="true" outlineLevel="0" collapsed="false">
      <c r="A10" s="12" t="s">
        <v>15</v>
      </c>
      <c r="B10" s="13" t="n">
        <f aca="false">'Cloud integráció'!E32</f>
        <v>6250000</v>
      </c>
      <c r="C10" s="13" t="n">
        <f aca="false">'Cloud integráció'!E33</f>
        <v>3010000</v>
      </c>
      <c r="D10" s="13" t="n">
        <f aca="false">'Cloud integráció'!E34</f>
        <v>3240000</v>
      </c>
      <c r="E10" s="13" t="n">
        <f aca="false">Webfejlesztés!E30</f>
        <v>2885000</v>
      </c>
      <c r="F10" s="13" t="n">
        <f aca="false">Webfejlesztés!E31</f>
        <v>1665000</v>
      </c>
      <c r="G10" s="13" t="n">
        <f aca="false">Webfejlesztés!E32</f>
        <v>1220000</v>
      </c>
      <c r="H10" s="13" t="n">
        <f aca="false">Tanácsadás!E29</f>
        <v>2290000</v>
      </c>
      <c r="I10" s="13" t="n">
        <f aca="false">Tanácsadás!E30</f>
        <v>1170000</v>
      </c>
      <c r="J10" s="13" t="n">
        <f aca="false">Tanácsadás!E31</f>
        <v>1120000</v>
      </c>
      <c r="K10" s="14" t="n">
        <f aca="false">B10+E10+H10</f>
        <v>11425000</v>
      </c>
      <c r="L10" s="14" t="n">
        <f aca="false">C10+F10+I10</f>
        <v>5845000</v>
      </c>
      <c r="M10" s="14" t="n">
        <f aca="false">D10+G10+J10</f>
        <v>5580000</v>
      </c>
    </row>
    <row r="11" customFormat="false" ht="18" hidden="false" customHeight="true" outlineLevel="0" collapsed="false">
      <c r="A11" s="12" t="s">
        <v>16</v>
      </c>
      <c r="B11" s="13" t="n">
        <f aca="false">'Cloud integráció'!E48</f>
        <v>6430000</v>
      </c>
      <c r="C11" s="13" t="n">
        <f aca="false">'Cloud integráció'!E49</f>
        <v>3045000</v>
      </c>
      <c r="D11" s="13" t="n">
        <f aca="false">'Cloud integráció'!E50</f>
        <v>3385000</v>
      </c>
      <c r="E11" s="13" t="n">
        <f aca="false">Webfejlesztés!E45</f>
        <v>3165000</v>
      </c>
      <c r="F11" s="13" t="n">
        <f aca="false">Webfejlesztés!E46</f>
        <v>1615000</v>
      </c>
      <c r="G11" s="13" t="n">
        <f aca="false">Webfejlesztés!E47</f>
        <v>1550000</v>
      </c>
      <c r="H11" s="13" t="n">
        <f aca="false">Tanácsadás!E43</f>
        <v>2363000</v>
      </c>
      <c r="I11" s="13" t="n">
        <f aca="false">Tanácsadás!E44</f>
        <v>1185000</v>
      </c>
      <c r="J11" s="13" t="n">
        <f aca="false">Tanácsadás!E45</f>
        <v>1178000</v>
      </c>
      <c r="K11" s="14" t="n">
        <f aca="false">B11+E11+H11</f>
        <v>11958000</v>
      </c>
      <c r="L11" s="14" t="n">
        <f aca="false">C11+F11+I11</f>
        <v>5845000</v>
      </c>
      <c r="M11" s="14" t="n">
        <f aca="false">D11+G11+J11</f>
        <v>6113000</v>
      </c>
    </row>
    <row r="12" customFormat="false" ht="18" hidden="false" customHeight="true" outlineLevel="0" collapsed="false">
      <c r="A12" s="12" t="s">
        <v>17</v>
      </c>
      <c r="B12" s="13" t="n">
        <f aca="false">'Cloud integráció'!E64</f>
        <v>6950000</v>
      </c>
      <c r="C12" s="13" t="n">
        <f aca="false">'Cloud integráció'!E65</f>
        <v>3180000</v>
      </c>
      <c r="D12" s="13" t="n">
        <f aca="false">'Cloud integráció'!E66</f>
        <v>3770000</v>
      </c>
      <c r="E12" s="13" t="n">
        <f aca="false">Webfejlesztés!E60</f>
        <v>3465000</v>
      </c>
      <c r="F12" s="13" t="n">
        <f aca="false">Webfejlesztés!E61</f>
        <v>1645000</v>
      </c>
      <c r="G12" s="13" t="n">
        <f aca="false">Webfejlesztés!E62</f>
        <v>1820000</v>
      </c>
      <c r="H12" s="13" t="n">
        <f aca="false">Tanácsadás!E58</f>
        <v>2870000</v>
      </c>
      <c r="I12" s="13" t="n">
        <f aca="false">Tanácsadás!E59</f>
        <v>1240000</v>
      </c>
      <c r="J12" s="13" t="n">
        <f aca="false">Tanácsadás!E60</f>
        <v>1630000</v>
      </c>
      <c r="K12" s="14" t="n">
        <f aca="false">B12+E12+H12</f>
        <v>13285000</v>
      </c>
      <c r="L12" s="14" t="n">
        <f aca="false">C12+F12+I12</f>
        <v>6065000</v>
      </c>
      <c r="M12" s="14" t="n">
        <f aca="false">D12+G12+J12</f>
        <v>7220000</v>
      </c>
    </row>
    <row r="13" customFormat="false" ht="19.5" hidden="false" customHeight="true" outlineLevel="0" collapsed="false">
      <c r="A13" s="15" t="s">
        <v>18</v>
      </c>
      <c r="B13" s="16" t="n">
        <f aca="false">SUM(B9:B12)</f>
        <v>25180000</v>
      </c>
      <c r="C13" s="16" t="n">
        <f aca="false">SUM(C9:C12)</f>
        <v>12065000</v>
      </c>
      <c r="D13" s="16" t="n">
        <f aca="false">SUM(D9:D12)</f>
        <v>13115000</v>
      </c>
      <c r="E13" s="16" t="n">
        <f aca="false">SUM(E9:E12)</f>
        <v>12060000</v>
      </c>
      <c r="F13" s="16" t="n">
        <f aca="false">SUM(F9:F12)</f>
        <v>6435000</v>
      </c>
      <c r="G13" s="16" t="n">
        <f aca="false">SUM(G9:G12)</f>
        <v>5625000</v>
      </c>
      <c r="H13" s="16" t="n">
        <f aca="false">SUM(H9:H12)</f>
        <v>9731500</v>
      </c>
      <c r="I13" s="16" t="n">
        <f aca="false">SUM(I9:I12)</f>
        <v>4750000</v>
      </c>
      <c r="J13" s="16" t="n">
        <f aca="false">SUM(J9:J12)</f>
        <v>4981500</v>
      </c>
      <c r="K13" s="16" t="n">
        <f aca="false">SUM(K9:K12)</f>
        <v>46971500</v>
      </c>
      <c r="L13" s="16" t="n">
        <f aca="false">SUM(L9:L12)</f>
        <v>23250000</v>
      </c>
      <c r="M13" s="16" t="n">
        <f aca="false">SUM(M9:M12)</f>
        <v>23721500</v>
      </c>
    </row>
    <row r="15" customFormat="false" ht="25.5" hidden="false" customHeight="true" outlineLevel="0" collapsed="false">
      <c r="A15" s="17" t="s">
        <v>19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</sheetData>
  <mergeCells count="16">
    <mergeCell ref="A1:M1"/>
    <mergeCell ref="A2:M2"/>
    <mergeCell ref="A4:C4"/>
    <mergeCell ref="E4:G4"/>
    <mergeCell ref="I4:K4"/>
    <mergeCell ref="M4:O4"/>
    <mergeCell ref="A5:C5"/>
    <mergeCell ref="E5:G5"/>
    <mergeCell ref="I5:K5"/>
    <mergeCell ref="M5:O5"/>
    <mergeCell ref="A7:A8"/>
    <mergeCell ref="B7:D7"/>
    <mergeCell ref="E7:G7"/>
    <mergeCell ref="H7:J7"/>
    <mergeCell ref="K7:M7"/>
    <mergeCell ref="A15:M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</row>
    <row r="2" customFormat="false" ht="18" hidden="false" customHeight="true" outlineLevel="0" collapsed="false">
      <c r="A2" s="2" t="s">
        <v>21</v>
      </c>
      <c r="B2" s="2"/>
      <c r="C2" s="2"/>
      <c r="D2" s="2"/>
      <c r="E2" s="2"/>
    </row>
    <row r="3" customFormat="false" ht="15" hidden="false" customHeight="false" outlineLevel="0" collapsed="false">
      <c r="A3" s="18" t="s">
        <v>22</v>
      </c>
      <c r="B3" s="18"/>
      <c r="C3" s="18"/>
      <c r="D3" s="18"/>
      <c r="E3" s="18"/>
    </row>
    <row r="5" customFormat="false" ht="19.5" hidden="false" customHeight="true" outlineLevel="0" collapsed="false">
      <c r="A5" s="19" t="s">
        <v>23</v>
      </c>
      <c r="B5" s="19"/>
      <c r="C5" s="19"/>
      <c r="D5" s="19"/>
      <c r="E5" s="19"/>
    </row>
    <row r="6" customFormat="false" ht="19.5" hidden="false" customHeight="true" outlineLevel="0" collapsed="false">
      <c r="A6" s="11" t="s">
        <v>24</v>
      </c>
      <c r="B6" s="11" t="s">
        <v>25</v>
      </c>
      <c r="C6" s="11" t="s">
        <v>26</v>
      </c>
      <c r="D6" s="11" t="s">
        <v>27</v>
      </c>
      <c r="E6" s="11" t="s">
        <v>28</v>
      </c>
    </row>
    <row r="7" customFormat="false" ht="15" hidden="false" customHeight="false" outlineLevel="0" collapsed="false">
      <c r="A7" s="20" t="n">
        <v>45671</v>
      </c>
      <c r="B7" s="21" t="s">
        <v>29</v>
      </c>
      <c r="C7" s="21" t="s">
        <v>30</v>
      </c>
      <c r="D7" s="22" t="s">
        <v>31</v>
      </c>
      <c r="E7" s="23" t="n">
        <v>1450000</v>
      </c>
    </row>
    <row r="8" customFormat="false" ht="15" hidden="false" customHeight="false" outlineLevel="0" collapsed="false">
      <c r="A8" s="20" t="n">
        <v>45691</v>
      </c>
      <c r="B8" s="21" t="s">
        <v>32</v>
      </c>
      <c r="C8" s="21" t="s">
        <v>33</v>
      </c>
      <c r="D8" s="22" t="s">
        <v>31</v>
      </c>
      <c r="E8" s="23" t="n">
        <v>1250000</v>
      </c>
    </row>
    <row r="9" customFormat="false" ht="15" hidden="false" customHeight="false" outlineLevel="0" collapsed="false">
      <c r="A9" s="20" t="n">
        <v>45708</v>
      </c>
      <c r="B9" s="21" t="s">
        <v>34</v>
      </c>
      <c r="C9" s="21" t="s">
        <v>35</v>
      </c>
      <c r="D9" s="22" t="s">
        <v>31</v>
      </c>
      <c r="E9" s="23" t="n">
        <v>1020000</v>
      </c>
    </row>
    <row r="10" customFormat="false" ht="15" hidden="false" customHeight="false" outlineLevel="0" collapsed="false">
      <c r="A10" s="20" t="n">
        <v>45727</v>
      </c>
      <c r="B10" s="21" t="s">
        <v>36</v>
      </c>
      <c r="C10" s="21" t="s">
        <v>37</v>
      </c>
      <c r="D10" s="22" t="s">
        <v>31</v>
      </c>
      <c r="E10" s="23" t="n">
        <v>980000</v>
      </c>
    </row>
    <row r="11" customFormat="false" ht="15" hidden="false" customHeight="false" outlineLevel="0" collapsed="false">
      <c r="A11" s="20" t="n">
        <v>45741</v>
      </c>
      <c r="B11" s="21" t="s">
        <v>38</v>
      </c>
      <c r="C11" s="21" t="s">
        <v>39</v>
      </c>
      <c r="D11" s="22" t="s">
        <v>31</v>
      </c>
      <c r="E11" s="23" t="n">
        <v>850000</v>
      </c>
    </row>
    <row r="12" customFormat="false" ht="15" hidden="false" customHeight="false" outlineLevel="0" collapsed="false">
      <c r="A12" s="24" t="n">
        <v>45688</v>
      </c>
      <c r="B12" s="25" t="s">
        <v>40</v>
      </c>
      <c r="C12" s="25" t="s">
        <v>41</v>
      </c>
      <c r="D12" s="26" t="s">
        <v>42</v>
      </c>
      <c r="E12" s="27" t="n">
        <v>1800000</v>
      </c>
    </row>
    <row r="13" customFormat="false" ht="15" hidden="false" customHeight="false" outlineLevel="0" collapsed="false">
      <c r="A13" s="24" t="n">
        <v>45698</v>
      </c>
      <c r="B13" s="25" t="s">
        <v>43</v>
      </c>
      <c r="C13" s="25" t="s">
        <v>44</v>
      </c>
      <c r="D13" s="26" t="s">
        <v>42</v>
      </c>
      <c r="E13" s="27" t="n">
        <v>600000</v>
      </c>
    </row>
    <row r="14" customFormat="false" ht="15" hidden="false" customHeight="false" outlineLevel="0" collapsed="false">
      <c r="A14" s="24" t="n">
        <v>45721</v>
      </c>
      <c r="B14" s="25" t="s">
        <v>45</v>
      </c>
      <c r="C14" s="25" t="s">
        <v>46</v>
      </c>
      <c r="D14" s="26" t="s">
        <v>42</v>
      </c>
      <c r="E14" s="27" t="n">
        <v>180000</v>
      </c>
    </row>
    <row r="15" customFormat="false" ht="15" hidden="false" customHeight="false" outlineLevel="0" collapsed="false">
      <c r="A15" s="24" t="n">
        <v>45736</v>
      </c>
      <c r="B15" s="25" t="s">
        <v>47</v>
      </c>
      <c r="C15" s="25" t="s">
        <v>48</v>
      </c>
      <c r="D15" s="26" t="s">
        <v>42</v>
      </c>
      <c r="E15" s="27" t="n">
        <v>250000</v>
      </c>
    </row>
    <row r="16" customFormat="false" ht="15" hidden="false" customHeight="true" outlineLevel="0" collapsed="false">
      <c r="A16" s="28" t="s">
        <v>49</v>
      </c>
      <c r="B16" s="28"/>
      <c r="C16" s="28"/>
      <c r="D16" s="28"/>
      <c r="E16" s="14" t="n">
        <f aca="false">SUM(E7:E11)</f>
        <v>5550000</v>
      </c>
    </row>
    <row r="17" customFormat="false" ht="15" hidden="false" customHeight="true" outlineLevel="0" collapsed="false">
      <c r="A17" s="28" t="s">
        <v>50</v>
      </c>
      <c r="B17" s="28"/>
      <c r="C17" s="28"/>
      <c r="D17" s="28"/>
      <c r="E17" s="14" t="n">
        <f aca="false">SUM(E12:E15)</f>
        <v>2830000</v>
      </c>
    </row>
    <row r="18" customFormat="false" ht="15" hidden="false" customHeight="true" outlineLevel="0" collapsed="false">
      <c r="A18" s="29" t="s">
        <v>51</v>
      </c>
      <c r="B18" s="29"/>
      <c r="C18" s="29"/>
      <c r="D18" s="29"/>
      <c r="E18" s="30" t="n">
        <f aca="false">E16-E17</f>
        <v>2720000</v>
      </c>
    </row>
    <row r="20" customFormat="false" ht="19.5" hidden="false" customHeight="true" outlineLevel="0" collapsed="false">
      <c r="A20" s="19" t="s">
        <v>52</v>
      </c>
      <c r="B20" s="19"/>
      <c r="C20" s="19"/>
      <c r="D20" s="19"/>
      <c r="E20" s="19"/>
    </row>
    <row r="21" customFormat="false" ht="19.5" hidden="false" customHeight="true" outlineLevel="0" collapsed="false">
      <c r="A21" s="11" t="s">
        <v>24</v>
      </c>
      <c r="B21" s="11" t="s">
        <v>25</v>
      </c>
      <c r="C21" s="11" t="s">
        <v>26</v>
      </c>
      <c r="D21" s="11" t="s">
        <v>27</v>
      </c>
      <c r="E21" s="11" t="s">
        <v>28</v>
      </c>
    </row>
    <row r="22" customFormat="false" ht="15" hidden="false" customHeight="false" outlineLevel="0" collapsed="false">
      <c r="A22" s="20" t="n">
        <v>45756</v>
      </c>
      <c r="B22" s="21" t="s">
        <v>53</v>
      </c>
      <c r="C22" s="21" t="s">
        <v>54</v>
      </c>
      <c r="D22" s="22" t="s">
        <v>31</v>
      </c>
      <c r="E22" s="23" t="n">
        <v>1450000</v>
      </c>
    </row>
    <row r="23" customFormat="false" ht="15" hidden="false" customHeight="false" outlineLevel="0" collapsed="false">
      <c r="A23" s="20" t="n">
        <v>45775</v>
      </c>
      <c r="B23" s="21" t="s">
        <v>55</v>
      </c>
      <c r="C23" s="21" t="s">
        <v>56</v>
      </c>
      <c r="D23" s="22" t="s">
        <v>31</v>
      </c>
      <c r="E23" s="23" t="n">
        <v>1250000</v>
      </c>
    </row>
    <row r="24" customFormat="false" ht="15" hidden="false" customHeight="false" outlineLevel="0" collapsed="false">
      <c r="A24" s="20" t="n">
        <v>45792</v>
      </c>
      <c r="B24" s="21" t="s">
        <v>57</v>
      </c>
      <c r="C24" s="21" t="s">
        <v>35</v>
      </c>
      <c r="D24" s="22" t="s">
        <v>31</v>
      </c>
      <c r="E24" s="23" t="n">
        <v>1360000</v>
      </c>
    </row>
    <row r="25" customFormat="false" ht="15" hidden="false" customHeight="false" outlineLevel="0" collapsed="false">
      <c r="A25" s="20" t="n">
        <v>45807</v>
      </c>
      <c r="B25" s="21" t="s">
        <v>58</v>
      </c>
      <c r="C25" s="21" t="s">
        <v>37</v>
      </c>
      <c r="D25" s="22" t="s">
        <v>31</v>
      </c>
      <c r="E25" s="23" t="n">
        <v>780000</v>
      </c>
    </row>
    <row r="26" customFormat="false" ht="15" hidden="false" customHeight="false" outlineLevel="0" collapsed="false">
      <c r="A26" s="20" t="n">
        <v>45826</v>
      </c>
      <c r="B26" s="21" t="s">
        <v>59</v>
      </c>
      <c r="C26" s="21" t="s">
        <v>39</v>
      </c>
      <c r="D26" s="22" t="s">
        <v>31</v>
      </c>
      <c r="E26" s="23" t="n">
        <v>690000</v>
      </c>
    </row>
    <row r="27" customFormat="false" ht="15" hidden="false" customHeight="false" outlineLevel="0" collapsed="false">
      <c r="A27" s="20" t="n">
        <v>45834</v>
      </c>
      <c r="B27" s="21" t="s">
        <v>60</v>
      </c>
      <c r="C27" s="21" t="s">
        <v>61</v>
      </c>
      <c r="D27" s="22" t="s">
        <v>31</v>
      </c>
      <c r="E27" s="23" t="n">
        <v>720000</v>
      </c>
    </row>
    <row r="28" customFormat="false" ht="15" hidden="false" customHeight="false" outlineLevel="0" collapsed="false">
      <c r="A28" s="24" t="n">
        <v>45777</v>
      </c>
      <c r="B28" s="25" t="s">
        <v>40</v>
      </c>
      <c r="C28" s="25" t="s">
        <v>41</v>
      </c>
      <c r="D28" s="26" t="s">
        <v>42</v>
      </c>
      <c r="E28" s="27" t="n">
        <v>1900000</v>
      </c>
    </row>
    <row r="29" customFormat="false" ht="15" hidden="false" customHeight="false" outlineLevel="0" collapsed="false">
      <c r="A29" s="24" t="n">
        <v>45789</v>
      </c>
      <c r="B29" s="25" t="s">
        <v>62</v>
      </c>
      <c r="C29" s="25" t="s">
        <v>63</v>
      </c>
      <c r="D29" s="26" t="s">
        <v>42</v>
      </c>
      <c r="E29" s="27" t="n">
        <v>650000</v>
      </c>
    </row>
    <row r="30" customFormat="false" ht="15" hidden="false" customHeight="false" outlineLevel="0" collapsed="false">
      <c r="A30" s="24" t="n">
        <v>45814</v>
      </c>
      <c r="B30" s="25" t="s">
        <v>64</v>
      </c>
      <c r="C30" s="25" t="s">
        <v>46</v>
      </c>
      <c r="D30" s="26" t="s">
        <v>42</v>
      </c>
      <c r="E30" s="27" t="n">
        <v>190000</v>
      </c>
    </row>
    <row r="31" customFormat="false" ht="15" hidden="false" customHeight="false" outlineLevel="0" collapsed="false">
      <c r="A31" s="24" t="n">
        <v>45832</v>
      </c>
      <c r="B31" s="25" t="s">
        <v>47</v>
      </c>
      <c r="C31" s="25" t="s">
        <v>48</v>
      </c>
      <c r="D31" s="26" t="s">
        <v>42</v>
      </c>
      <c r="E31" s="27" t="n">
        <v>270000</v>
      </c>
    </row>
    <row r="32" customFormat="false" ht="15" hidden="false" customHeight="true" outlineLevel="0" collapsed="false">
      <c r="A32" s="28" t="s">
        <v>65</v>
      </c>
      <c r="B32" s="28"/>
      <c r="C32" s="28"/>
      <c r="D32" s="28"/>
      <c r="E32" s="14" t="n">
        <f aca="false">SUM(E22:E27)</f>
        <v>6250000</v>
      </c>
    </row>
    <row r="33" customFormat="false" ht="15" hidden="false" customHeight="true" outlineLevel="0" collapsed="false">
      <c r="A33" s="28" t="s">
        <v>66</v>
      </c>
      <c r="B33" s="28"/>
      <c r="C33" s="28"/>
      <c r="D33" s="28"/>
      <c r="E33" s="14" t="n">
        <f aca="false">SUM(E28:E31)</f>
        <v>3010000</v>
      </c>
    </row>
    <row r="34" customFormat="false" ht="15" hidden="false" customHeight="true" outlineLevel="0" collapsed="false">
      <c r="A34" s="29" t="s">
        <v>67</v>
      </c>
      <c r="B34" s="29"/>
      <c r="C34" s="29"/>
      <c r="D34" s="29"/>
      <c r="E34" s="30" t="n">
        <f aca="false">E32-E33</f>
        <v>3240000</v>
      </c>
    </row>
    <row r="36" customFormat="false" ht="19.5" hidden="false" customHeight="true" outlineLevel="0" collapsed="false">
      <c r="A36" s="19" t="s">
        <v>68</v>
      </c>
      <c r="B36" s="19"/>
      <c r="C36" s="19"/>
      <c r="D36" s="19"/>
      <c r="E36" s="19"/>
    </row>
    <row r="37" customFormat="false" ht="19.5" hidden="false" customHeight="true" outlineLevel="0" collapsed="false">
      <c r="A37" s="11" t="s">
        <v>24</v>
      </c>
      <c r="B37" s="11" t="s">
        <v>25</v>
      </c>
      <c r="C37" s="11" t="s">
        <v>26</v>
      </c>
      <c r="D37" s="11" t="s">
        <v>27</v>
      </c>
      <c r="E37" s="11" t="s">
        <v>28</v>
      </c>
    </row>
    <row r="38" customFormat="false" ht="15" hidden="false" customHeight="false" outlineLevel="0" collapsed="false">
      <c r="A38" s="20" t="n">
        <v>45848</v>
      </c>
      <c r="B38" s="21" t="s">
        <v>69</v>
      </c>
      <c r="C38" s="21" t="s">
        <v>61</v>
      </c>
      <c r="D38" s="22" t="s">
        <v>31</v>
      </c>
      <c r="E38" s="23" t="n">
        <v>1450000</v>
      </c>
    </row>
    <row r="39" customFormat="false" ht="15" hidden="false" customHeight="false" outlineLevel="0" collapsed="false">
      <c r="A39" s="20" t="n">
        <v>45867</v>
      </c>
      <c r="B39" s="21" t="s">
        <v>70</v>
      </c>
      <c r="C39" s="21" t="s">
        <v>54</v>
      </c>
      <c r="D39" s="22" t="s">
        <v>31</v>
      </c>
      <c r="E39" s="23" t="n">
        <v>1250000</v>
      </c>
    </row>
    <row r="40" customFormat="false" ht="15" hidden="false" customHeight="false" outlineLevel="0" collapsed="false">
      <c r="A40" s="20" t="n">
        <v>45883</v>
      </c>
      <c r="B40" s="21" t="s">
        <v>71</v>
      </c>
      <c r="C40" s="21" t="s">
        <v>35</v>
      </c>
      <c r="D40" s="22" t="s">
        <v>31</v>
      </c>
      <c r="E40" s="23" t="n">
        <v>1700000</v>
      </c>
    </row>
    <row r="41" customFormat="false" ht="15" hidden="false" customHeight="false" outlineLevel="0" collapsed="false">
      <c r="A41" s="20" t="n">
        <v>45896</v>
      </c>
      <c r="B41" s="21" t="s">
        <v>72</v>
      </c>
      <c r="C41" s="21" t="s">
        <v>56</v>
      </c>
      <c r="D41" s="22" t="s">
        <v>31</v>
      </c>
      <c r="E41" s="23" t="n">
        <v>990000</v>
      </c>
    </row>
    <row r="42" customFormat="false" ht="15" hidden="false" customHeight="false" outlineLevel="0" collapsed="false">
      <c r="A42" s="20" t="n">
        <v>45909</v>
      </c>
      <c r="B42" s="21" t="s">
        <v>73</v>
      </c>
      <c r="C42" s="21" t="s">
        <v>61</v>
      </c>
      <c r="D42" s="22" t="s">
        <v>31</v>
      </c>
      <c r="E42" s="23" t="n">
        <v>560000</v>
      </c>
    </row>
    <row r="43" customFormat="false" ht="15" hidden="false" customHeight="false" outlineLevel="0" collapsed="false">
      <c r="A43" s="20" t="n">
        <v>45922</v>
      </c>
      <c r="B43" s="21" t="s">
        <v>74</v>
      </c>
      <c r="C43" s="21" t="s">
        <v>37</v>
      </c>
      <c r="D43" s="22" t="s">
        <v>31</v>
      </c>
      <c r="E43" s="23" t="n">
        <v>480000</v>
      </c>
    </row>
    <row r="44" customFormat="false" ht="15" hidden="false" customHeight="false" outlineLevel="0" collapsed="false">
      <c r="A44" s="24" t="n">
        <v>45869</v>
      </c>
      <c r="B44" s="25" t="s">
        <v>40</v>
      </c>
      <c r="C44" s="25" t="s">
        <v>41</v>
      </c>
      <c r="D44" s="26" t="s">
        <v>42</v>
      </c>
      <c r="E44" s="27" t="n">
        <v>1950000</v>
      </c>
    </row>
    <row r="45" customFormat="false" ht="15" hidden="false" customHeight="false" outlineLevel="0" collapsed="false">
      <c r="A45" s="24" t="n">
        <v>45884</v>
      </c>
      <c r="B45" s="25" t="s">
        <v>43</v>
      </c>
      <c r="C45" s="25" t="s">
        <v>44</v>
      </c>
      <c r="D45" s="26" t="s">
        <v>42</v>
      </c>
      <c r="E45" s="27" t="n">
        <v>620000</v>
      </c>
    </row>
    <row r="46" customFormat="false" ht="15" hidden="false" customHeight="false" outlineLevel="0" collapsed="false">
      <c r="A46" s="24" t="n">
        <v>45905</v>
      </c>
      <c r="B46" s="25" t="s">
        <v>64</v>
      </c>
      <c r="C46" s="25" t="s">
        <v>46</v>
      </c>
      <c r="D46" s="26" t="s">
        <v>42</v>
      </c>
      <c r="E46" s="27" t="n">
        <v>195000</v>
      </c>
    </row>
    <row r="47" customFormat="false" ht="15" hidden="false" customHeight="false" outlineLevel="0" collapsed="false">
      <c r="A47" s="24" t="n">
        <v>45926</v>
      </c>
      <c r="B47" s="25" t="s">
        <v>47</v>
      </c>
      <c r="C47" s="25" t="s">
        <v>48</v>
      </c>
      <c r="D47" s="26" t="s">
        <v>42</v>
      </c>
      <c r="E47" s="27" t="n">
        <v>280000</v>
      </c>
    </row>
    <row r="48" customFormat="false" ht="15" hidden="false" customHeight="true" outlineLevel="0" collapsed="false">
      <c r="A48" s="28" t="s">
        <v>75</v>
      </c>
      <c r="B48" s="28"/>
      <c r="C48" s="28"/>
      <c r="D48" s="28"/>
      <c r="E48" s="14" t="n">
        <f aca="false">SUM(E38:E43)</f>
        <v>6430000</v>
      </c>
    </row>
    <row r="49" customFormat="false" ht="15" hidden="false" customHeight="true" outlineLevel="0" collapsed="false">
      <c r="A49" s="28" t="s">
        <v>76</v>
      </c>
      <c r="B49" s="28"/>
      <c r="C49" s="28"/>
      <c r="D49" s="28"/>
      <c r="E49" s="14" t="n">
        <f aca="false">SUM(E44:E47)</f>
        <v>3045000</v>
      </c>
    </row>
    <row r="50" customFormat="false" ht="15" hidden="false" customHeight="true" outlineLevel="0" collapsed="false">
      <c r="A50" s="29" t="s">
        <v>77</v>
      </c>
      <c r="B50" s="29"/>
      <c r="C50" s="29"/>
      <c r="D50" s="29"/>
      <c r="E50" s="30" t="n">
        <f aca="false">E48-E49</f>
        <v>3385000</v>
      </c>
    </row>
    <row r="52" customFormat="false" ht="19.5" hidden="false" customHeight="true" outlineLevel="0" collapsed="false">
      <c r="A52" s="19" t="s">
        <v>78</v>
      </c>
      <c r="B52" s="19"/>
      <c r="C52" s="19"/>
      <c r="D52" s="19"/>
      <c r="E52" s="19"/>
    </row>
    <row r="53" customFormat="false" ht="19.5" hidden="false" customHeight="true" outlineLevel="0" collapsed="false">
      <c r="A53" s="11" t="s">
        <v>24</v>
      </c>
      <c r="B53" s="11" t="s">
        <v>25</v>
      </c>
      <c r="C53" s="11" t="s">
        <v>26</v>
      </c>
      <c r="D53" s="11" t="s">
        <v>27</v>
      </c>
      <c r="E53" s="11" t="s">
        <v>28</v>
      </c>
    </row>
    <row r="54" customFormat="false" ht="15" hidden="false" customHeight="false" outlineLevel="0" collapsed="false">
      <c r="A54" s="20" t="n">
        <v>45943</v>
      </c>
      <c r="B54" s="21" t="s">
        <v>79</v>
      </c>
      <c r="C54" s="21" t="s">
        <v>80</v>
      </c>
      <c r="D54" s="22" t="s">
        <v>31</v>
      </c>
      <c r="E54" s="23" t="n">
        <v>1450000</v>
      </c>
    </row>
    <row r="55" customFormat="false" ht="15" hidden="false" customHeight="false" outlineLevel="0" collapsed="false">
      <c r="A55" s="20" t="n">
        <v>45960</v>
      </c>
      <c r="B55" s="21" t="s">
        <v>32</v>
      </c>
      <c r="C55" s="21" t="s">
        <v>61</v>
      </c>
      <c r="D55" s="22" t="s">
        <v>31</v>
      </c>
      <c r="E55" s="23" t="n">
        <v>1250000</v>
      </c>
    </row>
    <row r="56" customFormat="false" ht="15" hidden="false" customHeight="false" outlineLevel="0" collapsed="false">
      <c r="A56" s="20" t="n">
        <v>45975</v>
      </c>
      <c r="B56" s="21" t="s">
        <v>71</v>
      </c>
      <c r="C56" s="21" t="s">
        <v>35</v>
      </c>
      <c r="D56" s="22" t="s">
        <v>31</v>
      </c>
      <c r="E56" s="23" t="n">
        <v>1700000</v>
      </c>
    </row>
    <row r="57" customFormat="false" ht="15" hidden="false" customHeight="false" outlineLevel="0" collapsed="false">
      <c r="A57" s="20" t="n">
        <v>45989</v>
      </c>
      <c r="B57" s="21" t="s">
        <v>81</v>
      </c>
      <c r="C57" s="21" t="s">
        <v>56</v>
      </c>
      <c r="D57" s="22" t="s">
        <v>31</v>
      </c>
      <c r="E57" s="23" t="n">
        <v>980000</v>
      </c>
    </row>
    <row r="58" customFormat="false" ht="15" hidden="false" customHeight="false" outlineLevel="0" collapsed="false">
      <c r="A58" s="20" t="n">
        <v>46000</v>
      </c>
      <c r="B58" s="21" t="s">
        <v>60</v>
      </c>
      <c r="C58" s="21" t="s">
        <v>54</v>
      </c>
      <c r="D58" s="22" t="s">
        <v>31</v>
      </c>
      <c r="E58" s="23" t="n">
        <v>720000</v>
      </c>
    </row>
    <row r="59" customFormat="false" ht="15" hidden="false" customHeight="false" outlineLevel="0" collapsed="false">
      <c r="A59" s="20" t="n">
        <v>46010</v>
      </c>
      <c r="B59" s="21" t="s">
        <v>38</v>
      </c>
      <c r="C59" s="21" t="s">
        <v>82</v>
      </c>
      <c r="D59" s="22" t="s">
        <v>31</v>
      </c>
      <c r="E59" s="23" t="n">
        <v>850000</v>
      </c>
    </row>
    <row r="60" customFormat="false" ht="15" hidden="false" customHeight="false" outlineLevel="0" collapsed="false">
      <c r="A60" s="24" t="n">
        <v>45961</v>
      </c>
      <c r="B60" s="25" t="s">
        <v>40</v>
      </c>
      <c r="C60" s="25" t="s">
        <v>41</v>
      </c>
      <c r="D60" s="26" t="s">
        <v>42</v>
      </c>
      <c r="E60" s="27" t="n">
        <v>2000000</v>
      </c>
    </row>
    <row r="61" customFormat="false" ht="15" hidden="false" customHeight="false" outlineLevel="0" collapsed="false">
      <c r="A61" s="24" t="n">
        <v>45978</v>
      </c>
      <c r="B61" s="25" t="s">
        <v>62</v>
      </c>
      <c r="C61" s="25" t="s">
        <v>63</v>
      </c>
      <c r="D61" s="26" t="s">
        <v>42</v>
      </c>
      <c r="E61" s="27" t="n">
        <v>680000</v>
      </c>
    </row>
    <row r="62" customFormat="false" ht="15" hidden="false" customHeight="false" outlineLevel="0" collapsed="false">
      <c r="A62" s="24" t="n">
        <v>45999</v>
      </c>
      <c r="B62" s="25" t="s">
        <v>64</v>
      </c>
      <c r="C62" s="25" t="s">
        <v>46</v>
      </c>
      <c r="D62" s="26" t="s">
        <v>42</v>
      </c>
      <c r="E62" s="27" t="n">
        <v>200000</v>
      </c>
    </row>
    <row r="63" customFormat="false" ht="15" hidden="false" customHeight="false" outlineLevel="0" collapsed="false">
      <c r="A63" s="24" t="n">
        <v>46013</v>
      </c>
      <c r="B63" s="25" t="s">
        <v>47</v>
      </c>
      <c r="C63" s="25" t="s">
        <v>48</v>
      </c>
      <c r="D63" s="26" t="s">
        <v>42</v>
      </c>
      <c r="E63" s="27" t="n">
        <v>300000</v>
      </c>
    </row>
    <row r="64" customFormat="false" ht="15" hidden="false" customHeight="true" outlineLevel="0" collapsed="false">
      <c r="A64" s="28" t="s">
        <v>83</v>
      </c>
      <c r="B64" s="28"/>
      <c r="C64" s="28"/>
      <c r="D64" s="28"/>
      <c r="E64" s="14" t="n">
        <f aca="false">SUM(E54:E59)</f>
        <v>6950000</v>
      </c>
    </row>
    <row r="65" customFormat="false" ht="15" hidden="false" customHeight="true" outlineLevel="0" collapsed="false">
      <c r="A65" s="28" t="s">
        <v>84</v>
      </c>
      <c r="B65" s="28"/>
      <c r="C65" s="28"/>
      <c r="D65" s="28"/>
      <c r="E65" s="14" t="n">
        <f aca="false">SUM(E60:E63)</f>
        <v>3180000</v>
      </c>
    </row>
    <row r="66" customFormat="false" ht="15" hidden="false" customHeight="true" outlineLevel="0" collapsed="false">
      <c r="A66" s="29" t="s">
        <v>85</v>
      </c>
      <c r="B66" s="29"/>
      <c r="C66" s="29"/>
      <c r="D66" s="29"/>
      <c r="E66" s="30" t="n">
        <f aca="false">E64-E65</f>
        <v>3770000</v>
      </c>
    </row>
    <row r="68" customFormat="false" ht="19.5" hidden="false" customHeight="true" outlineLevel="0" collapsed="false">
      <c r="A68" s="31" t="s">
        <v>86</v>
      </c>
      <c r="B68" s="31"/>
      <c r="C68" s="31"/>
      <c r="D68" s="31"/>
      <c r="E68" s="31"/>
    </row>
    <row r="69" customFormat="false" ht="15" hidden="false" customHeight="true" outlineLevel="0" collapsed="false">
      <c r="A69" s="32" t="s">
        <v>87</v>
      </c>
      <c r="B69" s="32"/>
      <c r="C69" s="32"/>
      <c r="D69" s="32"/>
      <c r="E69" s="33" t="n">
        <f aca="false">E16+E32+E48+E64</f>
        <v>25180000</v>
      </c>
    </row>
    <row r="70" customFormat="false" ht="15" hidden="false" customHeight="true" outlineLevel="0" collapsed="false">
      <c r="A70" s="32" t="s">
        <v>88</v>
      </c>
      <c r="B70" s="32"/>
      <c r="C70" s="32"/>
      <c r="D70" s="32"/>
      <c r="E70" s="33" t="n">
        <f aca="false">E17+E33+E49+E65</f>
        <v>12065000</v>
      </c>
    </row>
    <row r="71" customFormat="false" ht="15" hidden="false" customHeight="true" outlineLevel="0" collapsed="false">
      <c r="A71" s="34" t="s">
        <v>4</v>
      </c>
      <c r="B71" s="34"/>
      <c r="C71" s="34"/>
      <c r="D71" s="34"/>
      <c r="E71" s="35" t="n">
        <f aca="false">E69-E70</f>
        <v>13115000</v>
      </c>
    </row>
    <row r="72" customFormat="false" ht="15" hidden="false" customHeight="true" outlineLevel="0" collapsed="false">
      <c r="A72" s="28" t="s">
        <v>89</v>
      </c>
      <c r="B72" s="28"/>
      <c r="C72" s="28"/>
      <c r="D72" s="28"/>
      <c r="E72" s="36" t="n">
        <f aca="false">E71/E69</f>
        <v>0.520849880857824</v>
      </c>
    </row>
  </sheetData>
  <mergeCells count="24">
    <mergeCell ref="A1:E1"/>
    <mergeCell ref="A2:E2"/>
    <mergeCell ref="A3:E3"/>
    <mergeCell ref="A5:E5"/>
    <mergeCell ref="A16:D16"/>
    <mergeCell ref="A17:D17"/>
    <mergeCell ref="A18:D18"/>
    <mergeCell ref="A20:E20"/>
    <mergeCell ref="A32:D32"/>
    <mergeCell ref="A33:D33"/>
    <mergeCell ref="A34:D34"/>
    <mergeCell ref="A36:E36"/>
    <mergeCell ref="A48:D48"/>
    <mergeCell ref="A49:D49"/>
    <mergeCell ref="A50:D50"/>
    <mergeCell ref="A52:E52"/>
    <mergeCell ref="A64:D64"/>
    <mergeCell ref="A65:D65"/>
    <mergeCell ref="A66:D66"/>
    <mergeCell ref="A68:E68"/>
    <mergeCell ref="A69:D69"/>
    <mergeCell ref="A70:D70"/>
    <mergeCell ref="A71:D71"/>
    <mergeCell ref="A72:D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</row>
    <row r="2" customFormat="false" ht="18" hidden="false" customHeight="true" outlineLevel="0" collapsed="false">
      <c r="A2" s="2" t="s">
        <v>90</v>
      </c>
      <c r="B2" s="2"/>
      <c r="C2" s="2"/>
      <c r="D2" s="2"/>
      <c r="E2" s="2"/>
    </row>
    <row r="3" customFormat="false" ht="15" hidden="false" customHeight="false" outlineLevel="0" collapsed="false">
      <c r="A3" s="18" t="s">
        <v>22</v>
      </c>
      <c r="B3" s="18"/>
      <c r="C3" s="18"/>
      <c r="D3" s="18"/>
      <c r="E3" s="18"/>
    </row>
    <row r="5" customFormat="false" ht="19.5" hidden="false" customHeight="true" outlineLevel="0" collapsed="false">
      <c r="A5" s="19" t="s">
        <v>23</v>
      </c>
      <c r="B5" s="19"/>
      <c r="C5" s="19"/>
      <c r="D5" s="19"/>
      <c r="E5" s="19"/>
    </row>
    <row r="6" customFormat="false" ht="19.5" hidden="false" customHeight="true" outlineLevel="0" collapsed="false">
      <c r="A6" s="11" t="s">
        <v>24</v>
      </c>
      <c r="B6" s="11" t="s">
        <v>25</v>
      </c>
      <c r="C6" s="11" t="s">
        <v>26</v>
      </c>
      <c r="D6" s="11" t="s">
        <v>27</v>
      </c>
      <c r="E6" s="11" t="s">
        <v>28</v>
      </c>
    </row>
    <row r="7" customFormat="false" ht="15" hidden="false" customHeight="false" outlineLevel="0" collapsed="false">
      <c r="A7" s="20" t="n">
        <v>45677</v>
      </c>
      <c r="B7" s="21" t="s">
        <v>91</v>
      </c>
      <c r="C7" s="21" t="s">
        <v>92</v>
      </c>
      <c r="D7" s="22" t="s">
        <v>31</v>
      </c>
      <c r="E7" s="23" t="n">
        <v>280000</v>
      </c>
    </row>
    <row r="8" customFormat="false" ht="15" hidden="false" customHeight="false" outlineLevel="0" collapsed="false">
      <c r="A8" s="20" t="n">
        <v>45693</v>
      </c>
      <c r="B8" s="21" t="s">
        <v>93</v>
      </c>
      <c r="C8" s="21" t="s">
        <v>80</v>
      </c>
      <c r="D8" s="22" t="s">
        <v>31</v>
      </c>
      <c r="E8" s="23" t="n">
        <v>650000</v>
      </c>
    </row>
    <row r="9" customFormat="false" ht="15" hidden="false" customHeight="false" outlineLevel="0" collapsed="false">
      <c r="A9" s="20" t="n">
        <v>45706</v>
      </c>
      <c r="B9" s="21" t="s">
        <v>94</v>
      </c>
      <c r="C9" s="21" t="s">
        <v>95</v>
      </c>
      <c r="D9" s="22" t="s">
        <v>31</v>
      </c>
      <c r="E9" s="23" t="n">
        <v>950000</v>
      </c>
    </row>
    <row r="10" customFormat="false" ht="15" hidden="false" customHeight="false" outlineLevel="0" collapsed="false">
      <c r="A10" s="20" t="n">
        <v>45726</v>
      </c>
      <c r="B10" s="21" t="s">
        <v>96</v>
      </c>
      <c r="C10" s="21" t="s">
        <v>35</v>
      </c>
      <c r="D10" s="22" t="s">
        <v>31</v>
      </c>
      <c r="E10" s="23" t="n">
        <v>195000</v>
      </c>
    </row>
    <row r="11" customFormat="false" ht="15" hidden="false" customHeight="false" outlineLevel="0" collapsed="false">
      <c r="A11" s="20" t="n">
        <v>45740</v>
      </c>
      <c r="B11" s="21" t="s">
        <v>97</v>
      </c>
      <c r="C11" s="21" t="s">
        <v>61</v>
      </c>
      <c r="D11" s="22" t="s">
        <v>31</v>
      </c>
      <c r="E11" s="23" t="n">
        <v>470000</v>
      </c>
    </row>
    <row r="12" customFormat="false" ht="15" hidden="false" customHeight="false" outlineLevel="0" collapsed="false">
      <c r="A12" s="24" t="n">
        <v>45688</v>
      </c>
      <c r="B12" s="25" t="s">
        <v>98</v>
      </c>
      <c r="C12" s="25" t="s">
        <v>41</v>
      </c>
      <c r="D12" s="26" t="s">
        <v>42</v>
      </c>
      <c r="E12" s="27" t="n">
        <v>1200000</v>
      </c>
    </row>
    <row r="13" customFormat="false" ht="15" hidden="false" customHeight="false" outlineLevel="0" collapsed="false">
      <c r="A13" s="24" t="n">
        <v>45702</v>
      </c>
      <c r="B13" s="25" t="s">
        <v>99</v>
      </c>
      <c r="C13" s="25" t="s">
        <v>100</v>
      </c>
      <c r="D13" s="26" t="s">
        <v>42</v>
      </c>
      <c r="E13" s="27" t="n">
        <v>220000</v>
      </c>
    </row>
    <row r="14" customFormat="false" ht="15" hidden="false" customHeight="false" outlineLevel="0" collapsed="false">
      <c r="A14" s="24" t="n">
        <v>45723</v>
      </c>
      <c r="B14" s="25" t="s">
        <v>101</v>
      </c>
      <c r="C14" s="25" t="s">
        <v>46</v>
      </c>
      <c r="D14" s="26" t="s">
        <v>42</v>
      </c>
      <c r="E14" s="27" t="n">
        <v>90000</v>
      </c>
    </row>
    <row r="15" customFormat="false" ht="15" hidden="false" customHeight="true" outlineLevel="0" collapsed="false">
      <c r="A15" s="28" t="s">
        <v>49</v>
      </c>
      <c r="B15" s="28"/>
      <c r="C15" s="28"/>
      <c r="D15" s="28"/>
      <c r="E15" s="14" t="n">
        <f aca="false">SUM(E7:E11)</f>
        <v>2545000</v>
      </c>
    </row>
    <row r="16" customFormat="false" ht="15" hidden="false" customHeight="true" outlineLevel="0" collapsed="false">
      <c r="A16" s="28" t="s">
        <v>50</v>
      </c>
      <c r="B16" s="28"/>
      <c r="C16" s="28"/>
      <c r="D16" s="28"/>
      <c r="E16" s="14" t="n">
        <f aca="false">SUM(E12:E14)</f>
        <v>1510000</v>
      </c>
    </row>
    <row r="17" customFormat="false" ht="15" hidden="false" customHeight="true" outlineLevel="0" collapsed="false">
      <c r="A17" s="29" t="s">
        <v>51</v>
      </c>
      <c r="B17" s="29"/>
      <c r="C17" s="29"/>
      <c r="D17" s="29"/>
      <c r="E17" s="30" t="n">
        <f aca="false">E15-E16</f>
        <v>1035000</v>
      </c>
    </row>
    <row r="19" customFormat="false" ht="19.5" hidden="false" customHeight="true" outlineLevel="0" collapsed="false">
      <c r="A19" s="19" t="s">
        <v>52</v>
      </c>
      <c r="B19" s="19"/>
      <c r="C19" s="19"/>
      <c r="D19" s="19"/>
      <c r="E19" s="19"/>
    </row>
    <row r="20" customFormat="false" ht="19.5" hidden="false" customHeight="true" outlineLevel="0" collapsed="false">
      <c r="A20" s="11" t="s">
        <v>24</v>
      </c>
      <c r="B20" s="11" t="s">
        <v>25</v>
      </c>
      <c r="C20" s="11" t="s">
        <v>26</v>
      </c>
      <c r="D20" s="11" t="s">
        <v>27</v>
      </c>
      <c r="E20" s="11" t="s">
        <v>28</v>
      </c>
    </row>
    <row r="21" customFormat="false" ht="15" hidden="false" customHeight="false" outlineLevel="0" collapsed="false">
      <c r="A21" s="20" t="n">
        <v>45755</v>
      </c>
      <c r="B21" s="21" t="s">
        <v>93</v>
      </c>
      <c r="C21" s="21" t="s">
        <v>39</v>
      </c>
      <c r="D21" s="22" t="s">
        <v>31</v>
      </c>
      <c r="E21" s="23" t="n">
        <v>650000</v>
      </c>
    </row>
    <row r="22" customFormat="false" ht="15" hidden="false" customHeight="false" outlineLevel="0" collapsed="false">
      <c r="A22" s="20" t="n">
        <v>45769</v>
      </c>
      <c r="B22" s="21" t="s">
        <v>94</v>
      </c>
      <c r="C22" s="21" t="s">
        <v>92</v>
      </c>
      <c r="D22" s="22" t="s">
        <v>31</v>
      </c>
      <c r="E22" s="23" t="n">
        <v>950000</v>
      </c>
    </row>
    <row r="23" customFormat="false" ht="15" hidden="false" customHeight="false" outlineLevel="0" collapsed="false">
      <c r="A23" s="20" t="n">
        <v>45790</v>
      </c>
      <c r="B23" s="21" t="s">
        <v>102</v>
      </c>
      <c r="C23" s="21" t="s">
        <v>56</v>
      </c>
      <c r="D23" s="22" t="s">
        <v>31</v>
      </c>
      <c r="E23" s="23" t="n">
        <v>880000</v>
      </c>
    </row>
    <row r="24" customFormat="false" ht="15" hidden="false" customHeight="false" outlineLevel="0" collapsed="false">
      <c r="A24" s="20" t="n">
        <v>45806</v>
      </c>
      <c r="B24" s="21" t="s">
        <v>103</v>
      </c>
      <c r="C24" s="21" t="s">
        <v>35</v>
      </c>
      <c r="D24" s="22" t="s">
        <v>31</v>
      </c>
      <c r="E24" s="23" t="n">
        <v>195000</v>
      </c>
    </row>
    <row r="25" customFormat="false" ht="15" hidden="false" customHeight="false" outlineLevel="0" collapsed="false">
      <c r="A25" s="20" t="n">
        <v>45824</v>
      </c>
      <c r="B25" s="21" t="s">
        <v>104</v>
      </c>
      <c r="C25" s="21" t="s">
        <v>95</v>
      </c>
      <c r="D25" s="22" t="s">
        <v>31</v>
      </c>
      <c r="E25" s="23" t="n">
        <v>210000</v>
      </c>
    </row>
    <row r="26" customFormat="false" ht="15" hidden="false" customHeight="false" outlineLevel="0" collapsed="false">
      <c r="A26" s="24" t="n">
        <v>45777</v>
      </c>
      <c r="B26" s="25" t="s">
        <v>98</v>
      </c>
      <c r="C26" s="25" t="s">
        <v>41</v>
      </c>
      <c r="D26" s="26" t="s">
        <v>42</v>
      </c>
      <c r="E26" s="27" t="n">
        <v>1250000</v>
      </c>
    </row>
    <row r="27" customFormat="false" ht="15" hidden="false" customHeight="false" outlineLevel="0" collapsed="false">
      <c r="A27" s="24" t="n">
        <v>45793</v>
      </c>
      <c r="B27" s="25" t="s">
        <v>99</v>
      </c>
      <c r="C27" s="25" t="s">
        <v>100</v>
      </c>
      <c r="D27" s="26" t="s">
        <v>42</v>
      </c>
      <c r="E27" s="27" t="n">
        <v>230000</v>
      </c>
    </row>
    <row r="28" customFormat="false" ht="15" hidden="false" customHeight="false" outlineLevel="0" collapsed="false">
      <c r="A28" s="24" t="n">
        <v>45817</v>
      </c>
      <c r="B28" s="25" t="s">
        <v>101</v>
      </c>
      <c r="C28" s="25" t="s">
        <v>46</v>
      </c>
      <c r="D28" s="26" t="s">
        <v>42</v>
      </c>
      <c r="E28" s="27" t="n">
        <v>95000</v>
      </c>
    </row>
    <row r="29" customFormat="false" ht="15" hidden="false" customHeight="false" outlineLevel="0" collapsed="false">
      <c r="A29" s="24" t="n">
        <v>45835</v>
      </c>
      <c r="B29" s="25" t="s">
        <v>105</v>
      </c>
      <c r="C29" s="25" t="s">
        <v>106</v>
      </c>
      <c r="D29" s="26" t="s">
        <v>42</v>
      </c>
      <c r="E29" s="27" t="n">
        <v>90000</v>
      </c>
    </row>
    <row r="30" customFormat="false" ht="15" hidden="false" customHeight="true" outlineLevel="0" collapsed="false">
      <c r="A30" s="28" t="s">
        <v>65</v>
      </c>
      <c r="B30" s="28"/>
      <c r="C30" s="28"/>
      <c r="D30" s="28"/>
      <c r="E30" s="14" t="n">
        <f aca="false">SUM(E21:E25)</f>
        <v>2885000</v>
      </c>
    </row>
    <row r="31" customFormat="false" ht="15" hidden="false" customHeight="true" outlineLevel="0" collapsed="false">
      <c r="A31" s="28" t="s">
        <v>66</v>
      </c>
      <c r="B31" s="28"/>
      <c r="C31" s="28"/>
      <c r="D31" s="28"/>
      <c r="E31" s="14" t="n">
        <f aca="false">SUM(E26:E29)</f>
        <v>1665000</v>
      </c>
    </row>
    <row r="32" customFormat="false" ht="15" hidden="false" customHeight="true" outlineLevel="0" collapsed="false">
      <c r="A32" s="29" t="s">
        <v>67</v>
      </c>
      <c r="B32" s="29"/>
      <c r="C32" s="29"/>
      <c r="D32" s="29"/>
      <c r="E32" s="30" t="n">
        <f aca="false">E30-E31</f>
        <v>1220000</v>
      </c>
    </row>
    <row r="34" customFormat="false" ht="19.5" hidden="false" customHeight="true" outlineLevel="0" collapsed="false">
      <c r="A34" s="19" t="s">
        <v>68</v>
      </c>
      <c r="B34" s="19"/>
      <c r="C34" s="19"/>
      <c r="D34" s="19"/>
      <c r="E34" s="19"/>
    </row>
    <row r="35" customFormat="false" ht="19.5" hidden="false" customHeight="true" outlineLevel="0" collapsed="false">
      <c r="A35" s="11" t="s">
        <v>24</v>
      </c>
      <c r="B35" s="11" t="s">
        <v>25</v>
      </c>
      <c r="C35" s="11" t="s">
        <v>26</v>
      </c>
      <c r="D35" s="11" t="s">
        <v>27</v>
      </c>
      <c r="E35" s="11" t="s">
        <v>28</v>
      </c>
    </row>
    <row r="36" customFormat="false" ht="15" hidden="false" customHeight="false" outlineLevel="0" collapsed="false">
      <c r="A36" s="20" t="n">
        <v>45849</v>
      </c>
      <c r="B36" s="21" t="s">
        <v>91</v>
      </c>
      <c r="C36" s="21" t="s">
        <v>82</v>
      </c>
      <c r="D36" s="22" t="s">
        <v>31</v>
      </c>
      <c r="E36" s="23" t="n">
        <v>280000</v>
      </c>
    </row>
    <row r="37" customFormat="false" ht="15" hidden="false" customHeight="false" outlineLevel="0" collapsed="false">
      <c r="A37" s="20" t="n">
        <v>45862</v>
      </c>
      <c r="B37" s="21" t="s">
        <v>93</v>
      </c>
      <c r="C37" s="21" t="s">
        <v>80</v>
      </c>
      <c r="D37" s="22" t="s">
        <v>31</v>
      </c>
      <c r="E37" s="23" t="n">
        <v>650000</v>
      </c>
    </row>
    <row r="38" customFormat="false" ht="15" hidden="false" customHeight="false" outlineLevel="0" collapsed="false">
      <c r="A38" s="20" t="n">
        <v>45881</v>
      </c>
      <c r="B38" s="21" t="s">
        <v>94</v>
      </c>
      <c r="C38" s="21" t="s">
        <v>61</v>
      </c>
      <c r="D38" s="22" t="s">
        <v>31</v>
      </c>
      <c r="E38" s="23" t="n">
        <v>950000</v>
      </c>
    </row>
    <row r="39" customFormat="false" ht="15" hidden="false" customHeight="false" outlineLevel="0" collapsed="false">
      <c r="A39" s="20" t="n">
        <v>45897</v>
      </c>
      <c r="B39" s="21" t="s">
        <v>107</v>
      </c>
      <c r="C39" s="21" t="s">
        <v>54</v>
      </c>
      <c r="D39" s="22" t="s">
        <v>31</v>
      </c>
      <c r="E39" s="23" t="n">
        <v>320000</v>
      </c>
    </row>
    <row r="40" customFormat="false" ht="15" hidden="false" customHeight="false" outlineLevel="0" collapsed="false">
      <c r="A40" s="20" t="n">
        <v>45910</v>
      </c>
      <c r="B40" s="21" t="s">
        <v>108</v>
      </c>
      <c r="C40" s="21" t="s">
        <v>35</v>
      </c>
      <c r="D40" s="22" t="s">
        <v>31</v>
      </c>
      <c r="E40" s="23" t="n">
        <v>195000</v>
      </c>
    </row>
    <row r="41" customFormat="false" ht="15" hidden="false" customHeight="false" outlineLevel="0" collapsed="false">
      <c r="A41" s="20" t="n">
        <v>45925</v>
      </c>
      <c r="B41" s="21" t="s">
        <v>109</v>
      </c>
      <c r="C41" s="21" t="s">
        <v>37</v>
      </c>
      <c r="D41" s="22" t="s">
        <v>31</v>
      </c>
      <c r="E41" s="23" t="n">
        <v>770000</v>
      </c>
    </row>
    <row r="42" customFormat="false" ht="15" hidden="false" customHeight="false" outlineLevel="0" collapsed="false">
      <c r="A42" s="24" t="n">
        <v>45869</v>
      </c>
      <c r="B42" s="25" t="s">
        <v>98</v>
      </c>
      <c r="C42" s="25" t="s">
        <v>41</v>
      </c>
      <c r="D42" s="26" t="s">
        <v>42</v>
      </c>
      <c r="E42" s="27" t="n">
        <v>1280000</v>
      </c>
    </row>
    <row r="43" customFormat="false" ht="15" hidden="false" customHeight="false" outlineLevel="0" collapsed="false">
      <c r="A43" s="24" t="n">
        <v>45887</v>
      </c>
      <c r="B43" s="25" t="s">
        <v>99</v>
      </c>
      <c r="C43" s="25" t="s">
        <v>100</v>
      </c>
      <c r="D43" s="26" t="s">
        <v>42</v>
      </c>
      <c r="E43" s="27" t="n">
        <v>235000</v>
      </c>
    </row>
    <row r="44" customFormat="false" ht="15" hidden="false" customHeight="false" outlineLevel="0" collapsed="false">
      <c r="A44" s="24" t="n">
        <v>45906</v>
      </c>
      <c r="B44" s="25" t="s">
        <v>101</v>
      </c>
      <c r="C44" s="25" t="s">
        <v>46</v>
      </c>
      <c r="D44" s="26" t="s">
        <v>42</v>
      </c>
      <c r="E44" s="27" t="n">
        <v>100000</v>
      </c>
    </row>
    <row r="45" customFormat="false" ht="15" hidden="false" customHeight="true" outlineLevel="0" collapsed="false">
      <c r="A45" s="28" t="s">
        <v>75</v>
      </c>
      <c r="B45" s="28"/>
      <c r="C45" s="28"/>
      <c r="D45" s="28"/>
      <c r="E45" s="14" t="n">
        <f aca="false">SUM(E36:E41)</f>
        <v>3165000</v>
      </c>
    </row>
    <row r="46" customFormat="false" ht="15" hidden="false" customHeight="true" outlineLevel="0" collapsed="false">
      <c r="A46" s="28" t="s">
        <v>76</v>
      </c>
      <c r="B46" s="28"/>
      <c r="C46" s="28"/>
      <c r="D46" s="28"/>
      <c r="E46" s="14" t="n">
        <f aca="false">SUM(E42:E44)</f>
        <v>1615000</v>
      </c>
    </row>
    <row r="47" customFormat="false" ht="15" hidden="false" customHeight="true" outlineLevel="0" collapsed="false">
      <c r="A47" s="29" t="s">
        <v>77</v>
      </c>
      <c r="B47" s="29"/>
      <c r="C47" s="29"/>
      <c r="D47" s="29"/>
      <c r="E47" s="30" t="n">
        <f aca="false">E45-E46</f>
        <v>1550000</v>
      </c>
    </row>
    <row r="49" customFormat="false" ht="19.5" hidden="false" customHeight="true" outlineLevel="0" collapsed="false">
      <c r="A49" s="19" t="s">
        <v>78</v>
      </c>
      <c r="B49" s="19"/>
      <c r="C49" s="19"/>
      <c r="D49" s="19"/>
      <c r="E49" s="19"/>
    </row>
    <row r="50" customFormat="false" ht="19.5" hidden="false" customHeight="true" outlineLevel="0" collapsed="false">
      <c r="A50" s="11" t="s">
        <v>24</v>
      </c>
      <c r="B50" s="11" t="s">
        <v>25</v>
      </c>
      <c r="C50" s="11" t="s">
        <v>26</v>
      </c>
      <c r="D50" s="11" t="s">
        <v>27</v>
      </c>
      <c r="E50" s="11" t="s">
        <v>28</v>
      </c>
    </row>
    <row r="51" customFormat="false" ht="15" hidden="false" customHeight="false" outlineLevel="0" collapsed="false">
      <c r="A51" s="20" t="n">
        <v>45939</v>
      </c>
      <c r="B51" s="21" t="s">
        <v>93</v>
      </c>
      <c r="C51" s="21" t="s">
        <v>95</v>
      </c>
      <c r="D51" s="22" t="s">
        <v>31</v>
      </c>
      <c r="E51" s="23" t="n">
        <v>650000</v>
      </c>
    </row>
    <row r="52" customFormat="false" ht="15" hidden="false" customHeight="false" outlineLevel="0" collapsed="false">
      <c r="A52" s="20" t="n">
        <v>45957</v>
      </c>
      <c r="B52" s="21" t="s">
        <v>94</v>
      </c>
      <c r="C52" s="21" t="s">
        <v>82</v>
      </c>
      <c r="D52" s="22" t="s">
        <v>31</v>
      </c>
      <c r="E52" s="23" t="n">
        <v>950000</v>
      </c>
    </row>
    <row r="53" customFormat="false" ht="15" hidden="false" customHeight="false" outlineLevel="0" collapsed="false">
      <c r="A53" s="20" t="n">
        <v>45974</v>
      </c>
      <c r="B53" s="21" t="s">
        <v>110</v>
      </c>
      <c r="C53" s="21" t="s">
        <v>56</v>
      </c>
      <c r="D53" s="22" t="s">
        <v>31</v>
      </c>
      <c r="E53" s="23" t="n">
        <v>990000</v>
      </c>
    </row>
    <row r="54" customFormat="false" ht="15" hidden="false" customHeight="false" outlineLevel="0" collapsed="false">
      <c r="A54" s="20" t="n">
        <v>45987</v>
      </c>
      <c r="B54" s="21" t="s">
        <v>97</v>
      </c>
      <c r="C54" s="21" t="s">
        <v>80</v>
      </c>
      <c r="D54" s="22" t="s">
        <v>31</v>
      </c>
      <c r="E54" s="23" t="n">
        <v>470000</v>
      </c>
    </row>
    <row r="55" customFormat="false" ht="15" hidden="false" customHeight="false" outlineLevel="0" collapsed="false">
      <c r="A55" s="20" t="n">
        <v>46001</v>
      </c>
      <c r="B55" s="21" t="s">
        <v>111</v>
      </c>
      <c r="C55" s="21" t="s">
        <v>35</v>
      </c>
      <c r="D55" s="22" t="s">
        <v>31</v>
      </c>
      <c r="E55" s="23" t="n">
        <v>195000</v>
      </c>
    </row>
    <row r="56" customFormat="false" ht="15" hidden="false" customHeight="false" outlineLevel="0" collapsed="false">
      <c r="A56" s="20" t="n">
        <v>46009</v>
      </c>
      <c r="B56" s="21" t="s">
        <v>104</v>
      </c>
      <c r="C56" s="21" t="s">
        <v>61</v>
      </c>
      <c r="D56" s="22" t="s">
        <v>31</v>
      </c>
      <c r="E56" s="23" t="n">
        <v>210000</v>
      </c>
    </row>
    <row r="57" customFormat="false" ht="15" hidden="false" customHeight="false" outlineLevel="0" collapsed="false">
      <c r="A57" s="24" t="n">
        <v>45961</v>
      </c>
      <c r="B57" s="25" t="s">
        <v>98</v>
      </c>
      <c r="C57" s="25" t="s">
        <v>41</v>
      </c>
      <c r="D57" s="26" t="s">
        <v>42</v>
      </c>
      <c r="E57" s="27" t="n">
        <v>1300000</v>
      </c>
    </row>
    <row r="58" customFormat="false" ht="15" hidden="false" customHeight="false" outlineLevel="0" collapsed="false">
      <c r="A58" s="24" t="n">
        <v>45980</v>
      </c>
      <c r="B58" s="25" t="s">
        <v>99</v>
      </c>
      <c r="C58" s="25" t="s">
        <v>100</v>
      </c>
      <c r="D58" s="26" t="s">
        <v>42</v>
      </c>
      <c r="E58" s="27" t="n">
        <v>240000</v>
      </c>
    </row>
    <row r="59" customFormat="false" ht="15" hidden="false" customHeight="false" outlineLevel="0" collapsed="false">
      <c r="A59" s="24" t="n">
        <v>46003</v>
      </c>
      <c r="B59" s="25" t="s">
        <v>101</v>
      </c>
      <c r="C59" s="25" t="s">
        <v>46</v>
      </c>
      <c r="D59" s="26" t="s">
        <v>42</v>
      </c>
      <c r="E59" s="27" t="n">
        <v>105000</v>
      </c>
    </row>
    <row r="60" customFormat="false" ht="15" hidden="false" customHeight="true" outlineLevel="0" collapsed="false">
      <c r="A60" s="28" t="s">
        <v>83</v>
      </c>
      <c r="B60" s="28"/>
      <c r="C60" s="28"/>
      <c r="D60" s="28"/>
      <c r="E60" s="14" t="n">
        <f aca="false">SUM(E51:E56)</f>
        <v>3465000</v>
      </c>
    </row>
    <row r="61" customFormat="false" ht="15" hidden="false" customHeight="true" outlineLevel="0" collapsed="false">
      <c r="A61" s="28" t="s">
        <v>84</v>
      </c>
      <c r="B61" s="28"/>
      <c r="C61" s="28"/>
      <c r="D61" s="28"/>
      <c r="E61" s="14" t="n">
        <f aca="false">SUM(E57:E59)</f>
        <v>1645000</v>
      </c>
    </row>
    <row r="62" customFormat="false" ht="15" hidden="false" customHeight="true" outlineLevel="0" collapsed="false">
      <c r="A62" s="29" t="s">
        <v>85</v>
      </c>
      <c r="B62" s="29"/>
      <c r="C62" s="29"/>
      <c r="D62" s="29"/>
      <c r="E62" s="30" t="n">
        <f aca="false">E60-E61</f>
        <v>1820000</v>
      </c>
    </row>
    <row r="64" customFormat="false" ht="19.5" hidden="false" customHeight="true" outlineLevel="0" collapsed="false">
      <c r="A64" s="31" t="s">
        <v>86</v>
      </c>
      <c r="B64" s="31"/>
      <c r="C64" s="31"/>
      <c r="D64" s="31"/>
      <c r="E64" s="31"/>
    </row>
    <row r="65" customFormat="false" ht="15" hidden="false" customHeight="true" outlineLevel="0" collapsed="false">
      <c r="A65" s="32" t="s">
        <v>87</v>
      </c>
      <c r="B65" s="32"/>
      <c r="C65" s="32"/>
      <c r="D65" s="32"/>
      <c r="E65" s="33" t="n">
        <f aca="false">E15+E30+E45+E60</f>
        <v>12060000</v>
      </c>
    </row>
    <row r="66" customFormat="false" ht="15" hidden="false" customHeight="true" outlineLevel="0" collapsed="false">
      <c r="A66" s="32" t="s">
        <v>88</v>
      </c>
      <c r="B66" s="32"/>
      <c r="C66" s="32"/>
      <c r="D66" s="32"/>
      <c r="E66" s="33" t="n">
        <f aca="false">E16+E31+E46+E61</f>
        <v>6435000</v>
      </c>
    </row>
    <row r="67" customFormat="false" ht="15" hidden="false" customHeight="true" outlineLevel="0" collapsed="false">
      <c r="A67" s="34" t="s">
        <v>4</v>
      </c>
      <c r="B67" s="34"/>
      <c r="C67" s="34"/>
      <c r="D67" s="34"/>
      <c r="E67" s="35" t="n">
        <f aca="false">E65-E66</f>
        <v>5625000</v>
      </c>
    </row>
    <row r="68" customFormat="false" ht="15" hidden="false" customHeight="true" outlineLevel="0" collapsed="false">
      <c r="A68" s="28" t="s">
        <v>89</v>
      </c>
      <c r="B68" s="28"/>
      <c r="C68" s="28"/>
      <c r="D68" s="28"/>
      <c r="E68" s="36" t="n">
        <f aca="false">E67/E65</f>
        <v>0.466417910447761</v>
      </c>
    </row>
  </sheetData>
  <mergeCells count="24">
    <mergeCell ref="A1:E1"/>
    <mergeCell ref="A2:E2"/>
    <mergeCell ref="A3:E3"/>
    <mergeCell ref="A5:E5"/>
    <mergeCell ref="A15:D15"/>
    <mergeCell ref="A16:D16"/>
    <mergeCell ref="A17:D17"/>
    <mergeCell ref="A19:E19"/>
    <mergeCell ref="A30:D30"/>
    <mergeCell ref="A31:D31"/>
    <mergeCell ref="A32:D32"/>
    <mergeCell ref="A34:E34"/>
    <mergeCell ref="A45:D45"/>
    <mergeCell ref="A46:D46"/>
    <mergeCell ref="A47:D47"/>
    <mergeCell ref="A49:E49"/>
    <mergeCell ref="A60:D60"/>
    <mergeCell ref="A61:D61"/>
    <mergeCell ref="A62:D62"/>
    <mergeCell ref="A64:E64"/>
    <mergeCell ref="A65:D65"/>
    <mergeCell ref="A66:D66"/>
    <mergeCell ref="A67:D67"/>
    <mergeCell ref="A68:D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112</v>
      </c>
      <c r="B2" s="2"/>
      <c r="C2" s="2"/>
      <c r="D2" s="2"/>
      <c r="E2" s="2"/>
    </row>
    <row r="3" customFormat="false" ht="15" hidden="false" customHeight="false" outlineLevel="0" collapsed="false">
      <c r="A3" s="18" t="s">
        <v>22</v>
      </c>
      <c r="B3" s="18"/>
      <c r="C3" s="18"/>
      <c r="D3" s="18"/>
      <c r="E3" s="18"/>
    </row>
    <row r="5" customFormat="false" ht="19.5" hidden="false" customHeight="true" outlineLevel="0" collapsed="false">
      <c r="A5" s="19" t="s">
        <v>23</v>
      </c>
      <c r="B5" s="19"/>
      <c r="C5" s="19"/>
      <c r="D5" s="19"/>
      <c r="E5" s="19"/>
    </row>
    <row r="6" customFormat="false" ht="19.5" hidden="false" customHeight="true" outlineLevel="0" collapsed="false">
      <c r="A6" s="11" t="s">
        <v>24</v>
      </c>
      <c r="B6" s="11" t="s">
        <v>25</v>
      </c>
      <c r="C6" s="11" t="s">
        <v>26</v>
      </c>
      <c r="D6" s="11" t="s">
        <v>27</v>
      </c>
      <c r="E6" s="11" t="s">
        <v>28</v>
      </c>
    </row>
    <row r="7" customFormat="false" ht="15" hidden="false" customHeight="false" outlineLevel="0" collapsed="false">
      <c r="A7" s="20" t="n">
        <v>45673</v>
      </c>
      <c r="B7" s="21" t="s">
        <v>113</v>
      </c>
      <c r="C7" s="21" t="s">
        <v>80</v>
      </c>
      <c r="D7" s="22" t="s">
        <v>31</v>
      </c>
      <c r="E7" s="23" t="n">
        <v>456000</v>
      </c>
    </row>
    <row r="8" customFormat="false" ht="15" hidden="false" customHeight="false" outlineLevel="0" collapsed="false">
      <c r="A8" s="20" t="n">
        <v>45699</v>
      </c>
      <c r="B8" s="21" t="s">
        <v>114</v>
      </c>
      <c r="C8" s="21" t="s">
        <v>39</v>
      </c>
      <c r="D8" s="22" t="s">
        <v>31</v>
      </c>
      <c r="E8" s="23" t="n">
        <v>890000</v>
      </c>
    </row>
    <row r="9" customFormat="false" ht="15" hidden="false" customHeight="false" outlineLevel="0" collapsed="false">
      <c r="A9" s="20" t="n">
        <v>45722</v>
      </c>
      <c r="B9" s="21" t="s">
        <v>115</v>
      </c>
      <c r="C9" s="21" t="s">
        <v>61</v>
      </c>
      <c r="D9" s="22" t="s">
        <v>31</v>
      </c>
      <c r="E9" s="23" t="n">
        <v>442500</v>
      </c>
    </row>
    <row r="10" customFormat="false" ht="15" hidden="false" customHeight="false" outlineLevel="0" collapsed="false">
      <c r="A10" s="20" t="n">
        <v>45735</v>
      </c>
      <c r="B10" s="21" t="s">
        <v>116</v>
      </c>
      <c r="C10" s="21" t="s">
        <v>54</v>
      </c>
      <c r="D10" s="22" t="s">
        <v>31</v>
      </c>
      <c r="E10" s="23" t="n">
        <v>420000</v>
      </c>
    </row>
    <row r="11" customFormat="false" ht="15" hidden="false" customHeight="false" outlineLevel="0" collapsed="false">
      <c r="A11" s="24" t="n">
        <v>45688</v>
      </c>
      <c r="B11" s="25" t="s">
        <v>117</v>
      </c>
      <c r="C11" s="25" t="s">
        <v>41</v>
      </c>
      <c r="D11" s="26" t="s">
        <v>42</v>
      </c>
      <c r="E11" s="27" t="n">
        <v>950000</v>
      </c>
    </row>
    <row r="12" customFormat="false" ht="15" hidden="false" customHeight="false" outlineLevel="0" collapsed="false">
      <c r="A12" s="24" t="n">
        <v>45708</v>
      </c>
      <c r="B12" s="25" t="s">
        <v>118</v>
      </c>
      <c r="C12" s="25" t="s">
        <v>119</v>
      </c>
      <c r="D12" s="26" t="s">
        <v>42</v>
      </c>
      <c r="E12" s="27" t="n">
        <v>85000</v>
      </c>
    </row>
    <row r="13" customFormat="false" ht="15" hidden="false" customHeight="false" outlineLevel="0" collapsed="false">
      <c r="A13" s="24" t="n">
        <v>45730</v>
      </c>
      <c r="B13" s="25" t="s">
        <v>120</v>
      </c>
      <c r="C13" s="25" t="s">
        <v>121</v>
      </c>
      <c r="D13" s="26" t="s">
        <v>42</v>
      </c>
      <c r="E13" s="27" t="n">
        <v>120000</v>
      </c>
    </row>
    <row r="14" customFormat="false" ht="15" hidden="false" customHeight="true" outlineLevel="0" collapsed="false">
      <c r="A14" s="28" t="s">
        <v>49</v>
      </c>
      <c r="B14" s="28"/>
      <c r="C14" s="28"/>
      <c r="D14" s="28"/>
      <c r="E14" s="14" t="n">
        <f aca="false">SUM(E7:E10)</f>
        <v>2208500</v>
      </c>
    </row>
    <row r="15" customFormat="false" ht="15" hidden="false" customHeight="true" outlineLevel="0" collapsed="false">
      <c r="A15" s="28" t="s">
        <v>50</v>
      </c>
      <c r="B15" s="28"/>
      <c r="C15" s="28"/>
      <c r="D15" s="28"/>
      <c r="E15" s="14" t="n">
        <f aca="false">SUM(E11:E13)</f>
        <v>1155000</v>
      </c>
    </row>
    <row r="16" customFormat="false" ht="15" hidden="false" customHeight="true" outlineLevel="0" collapsed="false">
      <c r="A16" s="29" t="s">
        <v>51</v>
      </c>
      <c r="B16" s="29"/>
      <c r="C16" s="29"/>
      <c r="D16" s="29"/>
      <c r="E16" s="30" t="n">
        <f aca="false">E14-E15</f>
        <v>1053500</v>
      </c>
    </row>
    <row r="18" customFormat="false" ht="19.5" hidden="false" customHeight="true" outlineLevel="0" collapsed="false">
      <c r="A18" s="19" t="s">
        <v>52</v>
      </c>
      <c r="B18" s="19"/>
      <c r="C18" s="19"/>
      <c r="D18" s="19"/>
      <c r="E18" s="19"/>
    </row>
    <row r="19" customFormat="false" ht="19.5" hidden="false" customHeight="true" outlineLevel="0" collapsed="false">
      <c r="A19" s="11" t="s">
        <v>24</v>
      </c>
      <c r="B19" s="11" t="s">
        <v>25</v>
      </c>
      <c r="C19" s="11" t="s">
        <v>26</v>
      </c>
      <c r="D19" s="11" t="s">
        <v>27</v>
      </c>
      <c r="E19" s="11" t="s">
        <v>28</v>
      </c>
    </row>
    <row r="20" customFormat="false" ht="15" hidden="false" customHeight="false" outlineLevel="0" collapsed="false">
      <c r="A20" s="20" t="n">
        <v>45757</v>
      </c>
      <c r="B20" s="21" t="s">
        <v>122</v>
      </c>
      <c r="C20" s="21" t="s">
        <v>56</v>
      </c>
      <c r="D20" s="22" t="s">
        <v>31</v>
      </c>
      <c r="E20" s="23" t="n">
        <v>260000</v>
      </c>
    </row>
    <row r="21" customFormat="false" ht="15" hidden="false" customHeight="false" outlineLevel="0" collapsed="false">
      <c r="A21" s="20" t="n">
        <v>45771</v>
      </c>
      <c r="B21" s="21" t="s">
        <v>123</v>
      </c>
      <c r="C21" s="21" t="s">
        <v>37</v>
      </c>
      <c r="D21" s="22" t="s">
        <v>31</v>
      </c>
      <c r="E21" s="23" t="n">
        <v>540000</v>
      </c>
    </row>
    <row r="22" customFormat="false" ht="15" hidden="false" customHeight="false" outlineLevel="0" collapsed="false">
      <c r="A22" s="20" t="n">
        <v>45792</v>
      </c>
      <c r="B22" s="21" t="s">
        <v>124</v>
      </c>
      <c r="C22" s="21" t="s">
        <v>80</v>
      </c>
      <c r="D22" s="22" t="s">
        <v>31</v>
      </c>
      <c r="E22" s="23" t="n">
        <v>350000</v>
      </c>
    </row>
    <row r="23" customFormat="false" ht="15" hidden="false" customHeight="false" outlineLevel="0" collapsed="false">
      <c r="A23" s="20" t="n">
        <v>45805</v>
      </c>
      <c r="B23" s="21" t="s">
        <v>125</v>
      </c>
      <c r="C23" s="21" t="s">
        <v>54</v>
      </c>
      <c r="D23" s="22" t="s">
        <v>31</v>
      </c>
      <c r="E23" s="23" t="n">
        <v>380000</v>
      </c>
    </row>
    <row r="24" customFormat="false" ht="15" hidden="false" customHeight="false" outlineLevel="0" collapsed="false">
      <c r="A24" s="20" t="n">
        <v>45813</v>
      </c>
      <c r="B24" s="21" t="s">
        <v>126</v>
      </c>
      <c r="C24" s="21" t="s">
        <v>82</v>
      </c>
      <c r="D24" s="22" t="s">
        <v>31</v>
      </c>
      <c r="E24" s="23" t="n">
        <v>610000</v>
      </c>
    </row>
    <row r="25" customFormat="false" ht="15" hidden="false" customHeight="false" outlineLevel="0" collapsed="false">
      <c r="A25" s="20" t="n">
        <v>45831</v>
      </c>
      <c r="B25" s="21" t="s">
        <v>127</v>
      </c>
      <c r="C25" s="21" t="s">
        <v>61</v>
      </c>
      <c r="D25" s="22" t="s">
        <v>31</v>
      </c>
      <c r="E25" s="23" t="n">
        <v>150000</v>
      </c>
    </row>
    <row r="26" customFormat="false" ht="15" hidden="false" customHeight="false" outlineLevel="0" collapsed="false">
      <c r="A26" s="24" t="n">
        <v>45777</v>
      </c>
      <c r="B26" s="25" t="s">
        <v>117</v>
      </c>
      <c r="C26" s="25" t="s">
        <v>41</v>
      </c>
      <c r="D26" s="26" t="s">
        <v>42</v>
      </c>
      <c r="E26" s="27" t="n">
        <v>970000</v>
      </c>
    </row>
    <row r="27" customFormat="false" ht="15" hidden="false" customHeight="false" outlineLevel="0" collapsed="false">
      <c r="A27" s="24" t="n">
        <v>45794</v>
      </c>
      <c r="B27" s="25" t="s">
        <v>118</v>
      </c>
      <c r="C27" s="25" t="s">
        <v>119</v>
      </c>
      <c r="D27" s="26" t="s">
        <v>42</v>
      </c>
      <c r="E27" s="27" t="n">
        <v>90000</v>
      </c>
    </row>
    <row r="28" customFormat="false" ht="15" hidden="false" customHeight="false" outlineLevel="0" collapsed="false">
      <c r="A28" s="24" t="n">
        <v>45819</v>
      </c>
      <c r="B28" s="25" t="s">
        <v>120</v>
      </c>
      <c r="C28" s="25" t="s">
        <v>121</v>
      </c>
      <c r="D28" s="26" t="s">
        <v>42</v>
      </c>
      <c r="E28" s="27" t="n">
        <v>110000</v>
      </c>
    </row>
    <row r="29" customFormat="false" ht="15" hidden="false" customHeight="true" outlineLevel="0" collapsed="false">
      <c r="A29" s="28" t="s">
        <v>65</v>
      </c>
      <c r="B29" s="28"/>
      <c r="C29" s="28"/>
      <c r="D29" s="28"/>
      <c r="E29" s="14" t="n">
        <f aca="false">SUM(E20:E25)</f>
        <v>2290000</v>
      </c>
    </row>
    <row r="30" customFormat="false" ht="15" hidden="false" customHeight="true" outlineLevel="0" collapsed="false">
      <c r="A30" s="28" t="s">
        <v>66</v>
      </c>
      <c r="B30" s="28"/>
      <c r="C30" s="28"/>
      <c r="D30" s="28"/>
      <c r="E30" s="14" t="n">
        <f aca="false">SUM(E26:E28)</f>
        <v>1170000</v>
      </c>
    </row>
    <row r="31" customFormat="false" ht="15" hidden="false" customHeight="true" outlineLevel="0" collapsed="false">
      <c r="A31" s="29" t="s">
        <v>67</v>
      </c>
      <c r="B31" s="29"/>
      <c r="C31" s="29"/>
      <c r="D31" s="29"/>
      <c r="E31" s="30" t="n">
        <f aca="false">E29-E30</f>
        <v>1120000</v>
      </c>
    </row>
    <row r="33" customFormat="false" ht="19.5" hidden="false" customHeight="true" outlineLevel="0" collapsed="false">
      <c r="A33" s="19" t="s">
        <v>68</v>
      </c>
      <c r="B33" s="19"/>
      <c r="C33" s="19"/>
      <c r="D33" s="19"/>
      <c r="E33" s="19"/>
    </row>
    <row r="34" customFormat="false" ht="19.5" hidden="false" customHeight="true" outlineLevel="0" collapsed="false">
      <c r="A34" s="11" t="s">
        <v>24</v>
      </c>
      <c r="B34" s="11" t="s">
        <v>25</v>
      </c>
      <c r="C34" s="11" t="s">
        <v>26</v>
      </c>
      <c r="D34" s="11" t="s">
        <v>27</v>
      </c>
      <c r="E34" s="11" t="s">
        <v>28</v>
      </c>
    </row>
    <row r="35" customFormat="false" ht="15" hidden="false" customHeight="false" outlineLevel="0" collapsed="false">
      <c r="A35" s="20" t="n">
        <v>45852</v>
      </c>
      <c r="B35" s="21" t="s">
        <v>128</v>
      </c>
      <c r="C35" s="21" t="s">
        <v>54</v>
      </c>
      <c r="D35" s="22" t="s">
        <v>31</v>
      </c>
      <c r="E35" s="23" t="n">
        <v>532000</v>
      </c>
    </row>
    <row r="36" customFormat="false" ht="15" hidden="false" customHeight="false" outlineLevel="0" collapsed="false">
      <c r="A36" s="20" t="n">
        <v>45868</v>
      </c>
      <c r="B36" s="21" t="s">
        <v>114</v>
      </c>
      <c r="C36" s="21" t="s">
        <v>56</v>
      </c>
      <c r="D36" s="22" t="s">
        <v>31</v>
      </c>
      <c r="E36" s="23" t="n">
        <v>890000</v>
      </c>
    </row>
    <row r="37" customFormat="false" ht="15" hidden="false" customHeight="false" outlineLevel="0" collapsed="false">
      <c r="A37" s="20" t="n">
        <v>45888</v>
      </c>
      <c r="B37" s="21" t="s">
        <v>122</v>
      </c>
      <c r="C37" s="21" t="s">
        <v>37</v>
      </c>
      <c r="D37" s="22" t="s">
        <v>31</v>
      </c>
      <c r="E37" s="23" t="n">
        <v>260000</v>
      </c>
    </row>
    <row r="38" customFormat="false" ht="15" hidden="false" customHeight="false" outlineLevel="0" collapsed="false">
      <c r="A38" s="20" t="n">
        <v>45908</v>
      </c>
      <c r="B38" s="21" t="s">
        <v>129</v>
      </c>
      <c r="C38" s="21" t="s">
        <v>80</v>
      </c>
      <c r="D38" s="22" t="s">
        <v>31</v>
      </c>
      <c r="E38" s="23" t="n">
        <v>531000</v>
      </c>
    </row>
    <row r="39" customFormat="false" ht="15" hidden="false" customHeight="false" outlineLevel="0" collapsed="false">
      <c r="A39" s="20" t="n">
        <v>45924</v>
      </c>
      <c r="B39" s="21" t="s">
        <v>127</v>
      </c>
      <c r="C39" s="21" t="s">
        <v>61</v>
      </c>
      <c r="D39" s="22" t="s">
        <v>31</v>
      </c>
      <c r="E39" s="23" t="n">
        <v>150000</v>
      </c>
    </row>
    <row r="40" customFormat="false" ht="15" hidden="false" customHeight="false" outlineLevel="0" collapsed="false">
      <c r="A40" s="24" t="n">
        <v>45869</v>
      </c>
      <c r="B40" s="25" t="s">
        <v>117</v>
      </c>
      <c r="C40" s="25" t="s">
        <v>41</v>
      </c>
      <c r="D40" s="26" t="s">
        <v>42</v>
      </c>
      <c r="E40" s="27" t="n">
        <v>990000</v>
      </c>
    </row>
    <row r="41" customFormat="false" ht="15" hidden="false" customHeight="false" outlineLevel="0" collapsed="false">
      <c r="A41" s="24" t="n">
        <v>45890</v>
      </c>
      <c r="B41" s="25" t="s">
        <v>118</v>
      </c>
      <c r="C41" s="25" t="s">
        <v>119</v>
      </c>
      <c r="D41" s="26" t="s">
        <v>42</v>
      </c>
      <c r="E41" s="27" t="n">
        <v>95000</v>
      </c>
    </row>
    <row r="42" customFormat="false" ht="15" hidden="false" customHeight="false" outlineLevel="0" collapsed="false">
      <c r="A42" s="24" t="n">
        <v>45913</v>
      </c>
      <c r="B42" s="25" t="s">
        <v>120</v>
      </c>
      <c r="C42" s="25" t="s">
        <v>121</v>
      </c>
      <c r="D42" s="26" t="s">
        <v>42</v>
      </c>
      <c r="E42" s="27" t="n">
        <v>100000</v>
      </c>
    </row>
    <row r="43" customFormat="false" ht="15" hidden="false" customHeight="true" outlineLevel="0" collapsed="false">
      <c r="A43" s="28" t="s">
        <v>75</v>
      </c>
      <c r="B43" s="28"/>
      <c r="C43" s="28"/>
      <c r="D43" s="28"/>
      <c r="E43" s="14" t="n">
        <f aca="false">SUM(E35:E39)</f>
        <v>2363000</v>
      </c>
    </row>
    <row r="44" customFormat="false" ht="15" hidden="false" customHeight="true" outlineLevel="0" collapsed="false">
      <c r="A44" s="28" t="s">
        <v>76</v>
      </c>
      <c r="B44" s="28"/>
      <c r="C44" s="28"/>
      <c r="D44" s="28"/>
      <c r="E44" s="14" t="n">
        <f aca="false">SUM(E40:E42)</f>
        <v>1185000</v>
      </c>
    </row>
    <row r="45" customFormat="false" ht="15" hidden="false" customHeight="true" outlineLevel="0" collapsed="false">
      <c r="A45" s="29" t="s">
        <v>77</v>
      </c>
      <c r="B45" s="29"/>
      <c r="C45" s="29"/>
      <c r="D45" s="29"/>
      <c r="E45" s="30" t="n">
        <f aca="false">E43-E44</f>
        <v>1178000</v>
      </c>
    </row>
    <row r="47" customFormat="false" ht="19.5" hidden="false" customHeight="true" outlineLevel="0" collapsed="false">
      <c r="A47" s="19" t="s">
        <v>78</v>
      </c>
      <c r="B47" s="19"/>
      <c r="C47" s="19"/>
      <c r="D47" s="19"/>
      <c r="E47" s="19"/>
    </row>
    <row r="48" customFormat="false" ht="19.5" hidden="false" customHeight="true" outlineLevel="0" collapsed="false">
      <c r="A48" s="11" t="s">
        <v>24</v>
      </c>
      <c r="B48" s="11" t="s">
        <v>25</v>
      </c>
      <c r="C48" s="11" t="s">
        <v>26</v>
      </c>
      <c r="D48" s="11" t="s">
        <v>27</v>
      </c>
      <c r="E48" s="11" t="s">
        <v>28</v>
      </c>
    </row>
    <row r="49" customFormat="false" ht="15" hidden="false" customHeight="false" outlineLevel="0" collapsed="false">
      <c r="A49" s="20" t="n">
        <v>45944</v>
      </c>
      <c r="B49" s="21" t="s">
        <v>116</v>
      </c>
      <c r="C49" s="21" t="s">
        <v>82</v>
      </c>
      <c r="D49" s="22" t="s">
        <v>31</v>
      </c>
      <c r="E49" s="23" t="n">
        <v>420000</v>
      </c>
    </row>
    <row r="50" customFormat="false" ht="15" hidden="false" customHeight="false" outlineLevel="0" collapsed="false">
      <c r="A50" s="20" t="n">
        <v>45959</v>
      </c>
      <c r="B50" s="21" t="s">
        <v>123</v>
      </c>
      <c r="C50" s="21" t="s">
        <v>61</v>
      </c>
      <c r="D50" s="22" t="s">
        <v>31</v>
      </c>
      <c r="E50" s="23" t="n">
        <v>540000</v>
      </c>
    </row>
    <row r="51" customFormat="false" ht="15" hidden="false" customHeight="false" outlineLevel="0" collapsed="false">
      <c r="A51" s="20" t="n">
        <v>45979</v>
      </c>
      <c r="B51" s="21" t="s">
        <v>126</v>
      </c>
      <c r="C51" s="21" t="s">
        <v>80</v>
      </c>
      <c r="D51" s="22" t="s">
        <v>31</v>
      </c>
      <c r="E51" s="23" t="n">
        <v>610000</v>
      </c>
    </row>
    <row r="52" customFormat="false" ht="15" hidden="false" customHeight="false" outlineLevel="0" collapsed="false">
      <c r="A52" s="20" t="n">
        <v>45993</v>
      </c>
      <c r="B52" s="21" t="s">
        <v>122</v>
      </c>
      <c r="C52" s="21" t="s">
        <v>56</v>
      </c>
      <c r="D52" s="22" t="s">
        <v>31</v>
      </c>
      <c r="E52" s="23" t="n">
        <v>260000</v>
      </c>
    </row>
    <row r="53" customFormat="false" ht="15" hidden="false" customHeight="false" outlineLevel="0" collapsed="false">
      <c r="A53" s="20" t="n">
        <v>46006</v>
      </c>
      <c r="B53" s="21" t="s">
        <v>127</v>
      </c>
      <c r="C53" s="21" t="s">
        <v>37</v>
      </c>
      <c r="D53" s="22" t="s">
        <v>31</v>
      </c>
      <c r="E53" s="23" t="n">
        <v>150000</v>
      </c>
    </row>
    <row r="54" customFormat="false" ht="15" hidden="false" customHeight="false" outlineLevel="0" collapsed="false">
      <c r="A54" s="20" t="n">
        <v>46011</v>
      </c>
      <c r="B54" s="21" t="s">
        <v>114</v>
      </c>
      <c r="C54" s="21" t="s">
        <v>54</v>
      </c>
      <c r="D54" s="22" t="s">
        <v>31</v>
      </c>
      <c r="E54" s="23" t="n">
        <v>890000</v>
      </c>
    </row>
    <row r="55" customFormat="false" ht="15" hidden="false" customHeight="false" outlineLevel="0" collapsed="false">
      <c r="A55" s="24" t="n">
        <v>45961</v>
      </c>
      <c r="B55" s="25" t="s">
        <v>117</v>
      </c>
      <c r="C55" s="25" t="s">
        <v>41</v>
      </c>
      <c r="D55" s="26" t="s">
        <v>42</v>
      </c>
      <c r="E55" s="27" t="n">
        <v>1010000</v>
      </c>
    </row>
    <row r="56" customFormat="false" ht="15" hidden="false" customHeight="false" outlineLevel="0" collapsed="false">
      <c r="A56" s="24" t="n">
        <v>45981</v>
      </c>
      <c r="B56" s="25" t="s">
        <v>118</v>
      </c>
      <c r="C56" s="25" t="s">
        <v>119</v>
      </c>
      <c r="D56" s="26" t="s">
        <v>42</v>
      </c>
      <c r="E56" s="27" t="n">
        <v>100000</v>
      </c>
    </row>
    <row r="57" customFormat="false" ht="15" hidden="false" customHeight="false" outlineLevel="0" collapsed="false">
      <c r="A57" s="24" t="n">
        <v>46002</v>
      </c>
      <c r="B57" s="25" t="s">
        <v>120</v>
      </c>
      <c r="C57" s="25" t="s">
        <v>121</v>
      </c>
      <c r="D57" s="26" t="s">
        <v>42</v>
      </c>
      <c r="E57" s="27" t="n">
        <v>130000</v>
      </c>
    </row>
    <row r="58" customFormat="false" ht="15" hidden="false" customHeight="true" outlineLevel="0" collapsed="false">
      <c r="A58" s="28" t="s">
        <v>83</v>
      </c>
      <c r="B58" s="28"/>
      <c r="C58" s="28"/>
      <c r="D58" s="28"/>
      <c r="E58" s="14" t="n">
        <f aca="false">SUM(E49:E54)</f>
        <v>2870000</v>
      </c>
    </row>
    <row r="59" customFormat="false" ht="15" hidden="false" customHeight="true" outlineLevel="0" collapsed="false">
      <c r="A59" s="28" t="s">
        <v>84</v>
      </c>
      <c r="B59" s="28"/>
      <c r="C59" s="28"/>
      <c r="D59" s="28"/>
      <c r="E59" s="14" t="n">
        <f aca="false">SUM(E55:E57)</f>
        <v>1240000</v>
      </c>
    </row>
    <row r="60" customFormat="false" ht="15" hidden="false" customHeight="true" outlineLevel="0" collapsed="false">
      <c r="A60" s="29" t="s">
        <v>85</v>
      </c>
      <c r="B60" s="29"/>
      <c r="C60" s="29"/>
      <c r="D60" s="29"/>
      <c r="E60" s="30" t="n">
        <f aca="false">E58-E59</f>
        <v>1630000</v>
      </c>
    </row>
    <row r="62" customFormat="false" ht="19.5" hidden="false" customHeight="true" outlineLevel="0" collapsed="false">
      <c r="A62" s="31" t="s">
        <v>86</v>
      </c>
      <c r="B62" s="31"/>
      <c r="C62" s="31"/>
      <c r="D62" s="31"/>
      <c r="E62" s="31"/>
    </row>
    <row r="63" customFormat="false" ht="15" hidden="false" customHeight="true" outlineLevel="0" collapsed="false">
      <c r="A63" s="32" t="s">
        <v>87</v>
      </c>
      <c r="B63" s="32"/>
      <c r="C63" s="32"/>
      <c r="D63" s="32"/>
      <c r="E63" s="33" t="n">
        <f aca="false">E14+E29+E43+E58</f>
        <v>9731500</v>
      </c>
    </row>
    <row r="64" customFormat="false" ht="15" hidden="false" customHeight="true" outlineLevel="0" collapsed="false">
      <c r="A64" s="32" t="s">
        <v>88</v>
      </c>
      <c r="B64" s="32"/>
      <c r="C64" s="32"/>
      <c r="D64" s="32"/>
      <c r="E64" s="33" t="n">
        <f aca="false">E15+E30+E44+E59</f>
        <v>4750000</v>
      </c>
    </row>
    <row r="65" customFormat="false" ht="15" hidden="false" customHeight="true" outlineLevel="0" collapsed="false">
      <c r="A65" s="34" t="s">
        <v>4</v>
      </c>
      <c r="B65" s="34"/>
      <c r="C65" s="34"/>
      <c r="D65" s="34"/>
      <c r="E65" s="35" t="n">
        <f aca="false">E63-E64</f>
        <v>4981500</v>
      </c>
    </row>
    <row r="66" customFormat="false" ht="15" hidden="false" customHeight="true" outlineLevel="0" collapsed="false">
      <c r="A66" s="28" t="s">
        <v>89</v>
      </c>
      <c r="B66" s="28"/>
      <c r="C66" s="28"/>
      <c r="D66" s="28"/>
      <c r="E66" s="36" t="n">
        <f aca="false">E65/E63</f>
        <v>0.511894363664389</v>
      </c>
    </row>
  </sheetData>
  <mergeCells count="24">
    <mergeCell ref="A1:E1"/>
    <mergeCell ref="A2:E2"/>
    <mergeCell ref="A3:E3"/>
    <mergeCell ref="A5:E5"/>
    <mergeCell ref="A14:D14"/>
    <mergeCell ref="A15:D15"/>
    <mergeCell ref="A16:D16"/>
    <mergeCell ref="A18:E18"/>
    <mergeCell ref="A29:D29"/>
    <mergeCell ref="A30:D30"/>
    <mergeCell ref="A31:D31"/>
    <mergeCell ref="A33:E33"/>
    <mergeCell ref="A43:D43"/>
    <mergeCell ref="A44:D44"/>
    <mergeCell ref="A45:D45"/>
    <mergeCell ref="A47:E47"/>
    <mergeCell ref="A58:D58"/>
    <mergeCell ref="A59:D59"/>
    <mergeCell ref="A60:D60"/>
    <mergeCell ref="A62:E62"/>
    <mergeCell ref="A63:D63"/>
    <mergeCell ref="A64:D64"/>
    <mergeCell ref="A65:D65"/>
    <mergeCell ref="A66:D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2026-09-07T06:46:34Z</dcterms:created>
  <dc:creator>openpyxl</dc:creator>
  <dc:description/>
  <dc:language>en-US</dc:language>
  <cp:lastModifiedBy/>
  <dcterms:modified xsi:type="dcterms:W3CDTF">2026-09-07T06:46:34Z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