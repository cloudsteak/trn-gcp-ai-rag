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oud integráció" sheetId="1" state="visible" r:id="rId3"/>
    <sheet name="Webfejlesztés" sheetId="2" state="visible" r:id="rId4"/>
    <sheet name="Tanácsadá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<sst xmlns="http://schemas.openxmlformats.org/spreadsheetml/2006/main" count="152" uniqueCount="106">
  <si>
    <t xml:space="preserve">Aurora Dynamics Kft. – Szolgáltatási árlista 2026</t>
  </si>
  <si>
    <t xml:space="preserve">Cloud integrációs szolgáltatások (AWS, Azure, GCP)</t>
  </si>
  <si>
    <t xml:space="preserve">Érvényes: 2026.01.01-től</t>
  </si>
  <si>
    <t xml:space="preserve">Szolgáltatás megnevezése</t>
  </si>
  <si>
    <t xml:space="preserve">Leírás</t>
  </si>
  <si>
    <t xml:space="preserve">Egység</t>
  </si>
  <si>
    <t xml:space="preserve">Nettó díj (Ft)</t>
  </si>
  <si>
    <t xml:space="preserve">ÁFA</t>
  </si>
  <si>
    <t xml:space="preserve">Bruttó díj (Ft)</t>
  </si>
  <si>
    <t xml:space="preserve">Megjegyzés</t>
  </si>
  <si>
    <t xml:space="preserve">Felmérés és tervezés</t>
  </si>
  <si>
    <t xml:space="preserve">Cloud felkészültségi felmérés (Cloud Readiness Assessment)</t>
  </si>
  <si>
    <t xml:space="preserve">A jelenlegi infrastruktúra és alkalmazásportfólió átvilágítása, migrációs javaslattal és kockázatelemzéssel.</t>
  </si>
  <si>
    <t xml:space="preserve">projekt</t>
  </si>
  <si>
    <t xml:space="preserve">Legfeljebb 15 munkanapos átfutási idővel.</t>
  </si>
  <si>
    <t xml:space="preserve">Landing Zone kialakítása (AWS / Azure / GCP)</t>
  </si>
  <si>
    <t xml:space="preserve">Biztonságos, több fiókos/előfizetéses alapkörnyezet kialakítása identitáskezeléssel, hálózati szegmentációval és naplózással.</t>
  </si>
  <si>
    <t xml:space="preserve">Platformonként egyedi ajánlat készül.</t>
  </si>
  <si>
    <t xml:space="preserve">Migrációs stratégia és ütemterv összeállítása</t>
  </si>
  <si>
    <t xml:space="preserve">Alkalmazások és adatbázisok felhőbe történő átköltöztetésének részletes, fázisokra bontott terve.</t>
  </si>
  <si>
    <t xml:space="preserve">Infrastruktúra kiépítés</t>
  </si>
  <si>
    <t xml:space="preserve">Kubernetes fürt kiépítése (EKS / AKS / GKE)</t>
  </si>
  <si>
    <t xml:space="preserve">Productionkész, magas rendelkezésre állású konténer-orchesztrációs környezet telepítése és alapszintű hardening.</t>
  </si>
  <si>
    <t xml:space="preserve">Node-csoportok száma és mérete az igény szerint változik.</t>
  </si>
  <si>
    <t xml:space="preserve">Infrastruktúra-mint-kód bevezetés (Terraform / OpenTofu)</t>
  </si>
  <si>
    <t xml:space="preserve">A felhőerőforrások verziókezelt, újrafelhasználható kódba szervezése, modulokkal és környezet-elkülönítéssel.</t>
  </si>
  <si>
    <t xml:space="preserve">óra</t>
  </si>
  <si>
    <t xml:space="preserve">Minimum 40 órás keret ajánlott.</t>
  </si>
  <si>
    <t xml:space="preserve">CI/CD pipeline kialakítása (GitOps, ArgoCD)</t>
  </si>
  <si>
    <t xml:space="preserve">Automatizált build-, teszt- és telepítési folyamat kialakítása a kiválasztott verziókezelő rendszerhez illesztve.</t>
  </si>
  <si>
    <t xml:space="preserve">Szolgáltatáshálózat (Service Mesh) bevezetése – Istio</t>
  </si>
  <si>
    <t xml:space="preserve">Forgalomirányítás, megfigyelhetőség és biztonságos szolgáltatás-kommunikáció kiépítése konténeres környezetben.</t>
  </si>
  <si>
    <t xml:space="preserve">Meglévő Kubernetes-fürtre épül.</t>
  </si>
  <si>
    <t xml:space="preserve">Üzemeltetés és optimalizálás</t>
  </si>
  <si>
    <t xml:space="preserve">Havi üzemeltetési támogatás (Managed Cloud Service)</t>
  </si>
  <si>
    <t xml:space="preserve">Folyamatos felügyelet, incidenskezelés és havi állapotjelentés a kiválasztott felhőplatformon futó rendszerekhez.</t>
  </si>
  <si>
    <t xml:space="preserve">hó</t>
  </si>
  <si>
    <t xml:space="preserve">24/5 elérhetőség; 24/7 opció felár ellenében.</t>
  </si>
  <si>
    <t xml:space="preserve">Költségoptimalizálási felülvizsgálat (FinOps)</t>
  </si>
  <si>
    <t xml:space="preserve">A felhőköltségek részletes elemzése, erőforrás-méretezési és lekötési javaslatokkal a kiadások csökkentésére.</t>
  </si>
  <si>
    <t xml:space="preserve">Biztonsági audit és megfelelőségi felmérés</t>
  </si>
  <si>
    <t xml:space="preserve">A felhőkörnyezet biztonsági beállításainak átvizsgálása nemzetközi ajánlások (pl. CIS Benchmark) alapján.</t>
  </si>
  <si>
    <t xml:space="preserve">Katasztrófa-helyreállítási (Disaster Recovery) tervezés</t>
  </si>
  <si>
    <t xml:space="preserve">Mentési és helyreállítási stratégia kidolgozása, célkitűzött visszaállítási idővel (RTO/RPO).</t>
  </si>
  <si>
    <t xml:space="preserve">Multi-cloud hálózati integráció</t>
  </si>
  <si>
    <t xml:space="preserve">Több felhőszolgáltató közötti biztonságos hálózati összeköttetés (VPN/peering) kialakítása.</t>
  </si>
  <si>
    <t xml:space="preserve">Sávszélesség-igény alapján egyedi árazás lehetséges.</t>
  </si>
  <si>
    <t xml:space="preserve">Megjegyzés: a fenti árak tájékoztató jellegűek, egyedi projektek esetén a végleges díj a felmérést követően, írásos ajánlat formájában kerül rögzítésre. Az ÁFA mértéke a mindenkor hatályos jogszabályok szerint változhat.</t>
  </si>
  <si>
    <t xml:space="preserve">Webfejlesztési árlista</t>
  </si>
  <si>
    <t xml:space="preserve">Weboldalak</t>
  </si>
  <si>
    <t xml:space="preserve">Bemutatkozó weboldal (landing page)</t>
  </si>
  <si>
    <t xml:space="preserve">Egyoldalas, reszponzív bemutatkozó weboldal alapvető tartalmi elemekkel és kapcsolatfelvételi űrlappal.</t>
  </si>
  <si>
    <t xml:space="preserve">1 kör érdemi módosítást tartalmaz.</t>
  </si>
  <si>
    <t xml:space="preserve">Vállalati weboldal (több aloldallal)</t>
  </si>
  <si>
    <t xml:space="preserve">5–8 aloldalból álló, reszponzív vállalati weboldal, tartalomkezelő rendszerrel és alapszintű SEO-beállítással.</t>
  </si>
  <si>
    <t xml:space="preserve">Aloldalak számától függően árazható.</t>
  </si>
  <si>
    <t xml:space="preserve">Egyedi webalkalmazás fejlesztése</t>
  </si>
  <si>
    <t xml:space="preserve">Testreszabott funkciókkal rendelkező, felhasználói fiókkezelést is tartalmazó webalkalmazás tervezése és fejlesztése.</t>
  </si>
  <si>
    <t xml:space="preserve">Terjedelemtől függően projektalapú árazás is kérhető.</t>
  </si>
  <si>
    <t xml:space="preserve">Elektronikus kereskedelem</t>
  </si>
  <si>
    <t xml:space="preserve">Webáruház alapcsomag kialakítása</t>
  </si>
  <si>
    <t xml:space="preserve">Termékkatalógussal, kosárkezeléssel és online fizetési móddal rendelkező webáruház bevezetése.</t>
  </si>
  <si>
    <t xml:space="preserve">Legfeljebb 200 termékig.</t>
  </si>
  <si>
    <t xml:space="preserve">Fizetési és szállítási integráció</t>
  </si>
  <si>
    <t xml:space="preserve">Külső fizetési szolgáltató és futárszolgálat rendszerének összekapcsolása a webáruházzal.</t>
  </si>
  <si>
    <t xml:space="preserve">integráció</t>
  </si>
  <si>
    <t xml:space="preserve">Szolgáltatónként külön díjazandó.</t>
  </si>
  <si>
    <t xml:space="preserve">Kiegészítő szolgáltatások</t>
  </si>
  <si>
    <t xml:space="preserve">API fejlesztés és rendszerintegráció</t>
  </si>
  <si>
    <t xml:space="preserve">Meglévő rendszerek (pl. ERP, CRM) és a weboldal közötti adatkapcsolat kialakítása egyedi API-n keresztül.</t>
  </si>
  <si>
    <t xml:space="preserve">Tartalomkezelő rendszer (CMS) testreszabása</t>
  </si>
  <si>
    <t xml:space="preserve">Egyedi sablonok, mezők és szerkesztői felület kialakítása a kiválasztott CMS-hez.</t>
  </si>
  <si>
    <t xml:space="preserve">Teljesítményoptimalizálás és keresőoptimalizálás (SEO) alapcsomag</t>
  </si>
  <si>
    <t xml:space="preserve">Oldalbetöltési sebesség javítása és alapszintű technikai SEO-beállítások elvégzése.</t>
  </si>
  <si>
    <t xml:space="preserve">Karbantartási csomag</t>
  </si>
  <si>
    <t xml:space="preserve">Rendszeres frissítések, biztonsági javítások és apróbb tartalmi módosítások havi keretben.</t>
  </si>
  <si>
    <t xml:space="preserve">Havonta 3 óra munkavégzést tartalmaz.</t>
  </si>
  <si>
    <t xml:space="preserve">Biztonsági mentés és monitoring</t>
  </si>
  <si>
    <t xml:space="preserve">Automatizált napi mentés és folyamatos elérhetőség-figyelés riasztással.</t>
  </si>
  <si>
    <t xml:space="preserve">Tanácsadási szolgáltatások</t>
  </si>
  <si>
    <t xml:space="preserve">Stratégiai tanácsadás</t>
  </si>
  <si>
    <t xml:space="preserve">Stratégiai IT-tanácsadás</t>
  </si>
  <si>
    <t xml:space="preserve">Vezetői döntéshozatalt támogató, technológiai irányválasztásra fókuszáló tanácsadási óra.</t>
  </si>
  <si>
    <t xml:space="preserve">Minimum 4 órás igénylés esetén vehető igénybe.</t>
  </si>
  <si>
    <t xml:space="preserve">Digitális transzformációs felmérés</t>
  </si>
  <si>
    <t xml:space="preserve">A szervezet digitális érettségének felmérése és fejlesztési útiterv összeállítása.</t>
  </si>
  <si>
    <t xml:space="preserve">Vezetői workshop és stratégiai tervezés</t>
  </si>
  <si>
    <t xml:space="preserve">Egynapos, moderált workshop a vezetői csapat számára a technológiai stratégia kialakításához.</t>
  </si>
  <si>
    <t xml:space="preserve">alkalom</t>
  </si>
  <si>
    <t xml:space="preserve">Helyszíni vagy online formában egyaránt.</t>
  </si>
  <si>
    <t xml:space="preserve">Projekt- és folyamattámogatás</t>
  </si>
  <si>
    <t xml:space="preserve">Projektmenedzsment tanácsadás</t>
  </si>
  <si>
    <t xml:space="preserve">Folyamatban lévő IT-projektek felügyelete, kockázatkezelése és ütemezésének felülvizsgálata.</t>
  </si>
  <si>
    <t xml:space="preserve">Folyamatoptimalizálási workshop</t>
  </si>
  <si>
    <t xml:space="preserve">Belső munkafolyamatok feltérképezése és hatékonyságnövelő javaslatok kidolgozása csapatmunkában.</t>
  </si>
  <si>
    <t xml:space="preserve">Architektúra-felülvizsgálat</t>
  </si>
  <si>
    <t xml:space="preserve">A meglévő rendszerarchitektúra átvizsgálása skálázhatósági és fenntarthatósági szempontból.</t>
  </si>
  <si>
    <t xml:space="preserve">Mentorálás és megfelelőség</t>
  </si>
  <si>
    <t xml:space="preserve">Csapatmentorálás és technikai coaching</t>
  </si>
  <si>
    <t xml:space="preserve">Rendszeres, egyéni vagy csoportos szakmai mentorálás fejlesztői és üzemeltetői csapatok számára.</t>
  </si>
  <si>
    <t xml:space="preserve">Havi 8 órás keretet tartalmaz.</t>
  </si>
  <si>
    <t xml:space="preserve">Kockázatelemzés és megfelelőségi tanácsadás</t>
  </si>
  <si>
    <t xml:space="preserve">Informatikai kockázatok azonosítása és a vonatkozó szabályozásoknak való megfelelés vizsgálata.</t>
  </si>
  <si>
    <t xml:space="preserve">Utókövetéses konzultáció (retainer)</t>
  </si>
  <si>
    <t xml:space="preserve">Havi rendszerességű konzultációs keret korábbi projektek utógondozásához és eseti kérdésekhez.</t>
  </si>
  <si>
    <t xml:space="preserve">Fel nem használt órák nem vihetők át.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</si>
</sst>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E]#,##0&quot; Ft&quot;"/>
    <numFmt numFmtId="166" formatCode="[$-40E]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1"/>
      <color rgb="FF40404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4" min="3" style="0" width="16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7" min="7" style="0" width="3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31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8" hidden="false" customHeight="true" outlineLevel="0" collapsed="false">
      <c r="A6" s="5" t="s">
        <v>10</v>
      </c>
      <c r="B6" s="5"/>
      <c r="C6" s="5"/>
      <c r="D6" s="5"/>
      <c r="E6" s="5"/>
      <c r="F6" s="5"/>
      <c r="G6" s="5"/>
    </row>
    <row r="7" customFormat="false" ht="33.75" hidden="false" customHeight="true" outlineLevel="0" collapsed="false">
      <c r="A7" s="6" t="s">
        <v>11</v>
      </c>
      <c r="B7" s="6" t="s">
        <v>12</v>
      </c>
      <c r="C7" s="7" t="s">
        <v>13</v>
      </c>
      <c r="D7" s="8" t="n">
        <v>850000</v>
      </c>
      <c r="E7" s="9" t="n">
        <v>0.27</v>
      </c>
      <c r="F7" s="10" t="n">
        <f aca="false">D7*(1+E7)</f>
        <v>1079500</v>
      </c>
      <c r="G7" s="11" t="s">
        <v>14</v>
      </c>
    </row>
    <row r="8" customFormat="false" ht="33.75" hidden="false" customHeight="true" outlineLevel="0" collapsed="false">
      <c r="A8" s="6" t="s">
        <v>15</v>
      </c>
      <c r="B8" s="6" t="s">
        <v>16</v>
      </c>
      <c r="C8" s="7" t="s">
        <v>13</v>
      </c>
      <c r="D8" s="8" t="n">
        <v>1450000</v>
      </c>
      <c r="E8" s="9" t="n">
        <v>0.27</v>
      </c>
      <c r="F8" s="10" t="n">
        <f aca="false">D8*(1+E8)</f>
        <v>1841500</v>
      </c>
      <c r="G8" s="11" t="s">
        <v>17</v>
      </c>
    </row>
    <row r="9" customFormat="false" ht="33.75" hidden="false" customHeight="true" outlineLevel="0" collapsed="false">
      <c r="A9" s="6" t="s">
        <v>18</v>
      </c>
      <c r="B9" s="6" t="s">
        <v>19</v>
      </c>
      <c r="C9" s="7" t="s">
        <v>13</v>
      </c>
      <c r="D9" s="8" t="n">
        <v>620000</v>
      </c>
      <c r="E9" s="9" t="n">
        <v>0.27</v>
      </c>
      <c r="F9" s="10" t="n">
        <f aca="false">D9*(1+E9)</f>
        <v>787400</v>
      </c>
      <c r="G9" s="11"/>
    </row>
    <row r="10" customFormat="false" ht="18" hidden="false" customHeight="true" outlineLevel="0" collapsed="false">
      <c r="A10" s="5" t="s">
        <v>20</v>
      </c>
      <c r="B10" s="5"/>
      <c r="C10" s="5"/>
      <c r="D10" s="5"/>
      <c r="E10" s="5"/>
      <c r="F10" s="5"/>
      <c r="G10" s="5"/>
    </row>
    <row r="11" customFormat="false" ht="33.75" hidden="false" customHeight="true" outlineLevel="0" collapsed="false">
      <c r="A11" s="6" t="s">
        <v>21</v>
      </c>
      <c r="B11" s="6" t="s">
        <v>22</v>
      </c>
      <c r="C11" s="7" t="s">
        <v>13</v>
      </c>
      <c r="D11" s="8" t="n">
        <v>1250000</v>
      </c>
      <c r="E11" s="9" t="n">
        <v>0.27</v>
      </c>
      <c r="F11" s="10" t="n">
        <f aca="false">D11*(1+E11)</f>
        <v>1587500</v>
      </c>
      <c r="G11" s="11" t="s">
        <v>23</v>
      </c>
    </row>
    <row r="12" customFormat="false" ht="33.75" hidden="false" customHeight="true" outlineLevel="0" collapsed="false">
      <c r="A12" s="6" t="s">
        <v>24</v>
      </c>
      <c r="B12" s="6" t="s">
        <v>25</v>
      </c>
      <c r="C12" s="7" t="s">
        <v>26</v>
      </c>
      <c r="D12" s="8" t="n">
        <v>24500</v>
      </c>
      <c r="E12" s="9" t="n">
        <v>0.27</v>
      </c>
      <c r="F12" s="10" t="n">
        <f aca="false">D12*(1+E12)</f>
        <v>31115</v>
      </c>
      <c r="G12" s="11" t="s">
        <v>27</v>
      </c>
    </row>
    <row r="13" customFormat="false" ht="33.75" hidden="false" customHeight="true" outlineLevel="0" collapsed="false">
      <c r="A13" s="6" t="s">
        <v>28</v>
      </c>
      <c r="B13" s="6" t="s">
        <v>29</v>
      </c>
      <c r="C13" s="7" t="s">
        <v>13</v>
      </c>
      <c r="D13" s="8" t="n">
        <v>780000</v>
      </c>
      <c r="E13" s="9" t="n">
        <v>0.27</v>
      </c>
      <c r="F13" s="10" t="n">
        <f aca="false">D13*(1+E13)</f>
        <v>990600</v>
      </c>
      <c r="G13" s="11"/>
    </row>
    <row r="14" customFormat="false" ht="33.75" hidden="false" customHeight="true" outlineLevel="0" collapsed="false">
      <c r="A14" s="6" t="s">
        <v>30</v>
      </c>
      <c r="B14" s="6" t="s">
        <v>31</v>
      </c>
      <c r="C14" s="7" t="s">
        <v>13</v>
      </c>
      <c r="D14" s="8" t="n">
        <v>990000</v>
      </c>
      <c r="E14" s="9" t="n">
        <v>0.27</v>
      </c>
      <c r="F14" s="10" t="n">
        <f aca="false">D14*(1+E14)</f>
        <v>1257300</v>
      </c>
      <c r="G14" s="11" t="s">
        <v>32</v>
      </c>
    </row>
    <row r="15" customFormat="false" ht="18" hidden="false" customHeight="true" outlineLevel="0" collapsed="false">
      <c r="A15" s="5" t="s">
        <v>33</v>
      </c>
      <c r="B15" s="5"/>
      <c r="C15" s="5"/>
      <c r="D15" s="5"/>
      <c r="E15" s="5"/>
      <c r="F15" s="5"/>
      <c r="G15" s="5"/>
    </row>
    <row r="16" customFormat="false" ht="33.75" hidden="false" customHeight="true" outlineLevel="0" collapsed="false">
      <c r="A16" s="6" t="s">
        <v>34</v>
      </c>
      <c r="B16" s="6" t="s">
        <v>35</v>
      </c>
      <c r="C16" s="7" t="s">
        <v>36</v>
      </c>
      <c r="D16" s="8" t="n">
        <v>340000</v>
      </c>
      <c r="E16" s="9" t="n">
        <v>0.27</v>
      </c>
      <c r="F16" s="10" t="n">
        <f aca="false">D16*(1+E16)</f>
        <v>431800</v>
      </c>
      <c r="G16" s="11" t="s">
        <v>37</v>
      </c>
    </row>
    <row r="17" customFormat="false" ht="33.75" hidden="false" customHeight="true" outlineLevel="0" collapsed="false">
      <c r="A17" s="6" t="s">
        <v>38</v>
      </c>
      <c r="B17" s="6" t="s">
        <v>39</v>
      </c>
      <c r="C17" s="7" t="s">
        <v>13</v>
      </c>
      <c r="D17" s="8" t="n">
        <v>480000</v>
      </c>
      <c r="E17" s="9" t="n">
        <v>0.27</v>
      </c>
      <c r="F17" s="10" t="n">
        <f aca="false">D17*(1+E17)</f>
        <v>609600</v>
      </c>
      <c r="G17" s="11"/>
    </row>
    <row r="18" customFormat="false" ht="33.75" hidden="false" customHeight="true" outlineLevel="0" collapsed="false">
      <c r="A18" s="6" t="s">
        <v>40</v>
      </c>
      <c r="B18" s="6" t="s">
        <v>41</v>
      </c>
      <c r="C18" s="7" t="s">
        <v>13</v>
      </c>
      <c r="D18" s="8" t="n">
        <v>690000</v>
      </c>
      <c r="E18" s="9" t="n">
        <v>0.27</v>
      </c>
      <c r="F18" s="10" t="n">
        <f aca="false">D18*(1+E18)</f>
        <v>876300</v>
      </c>
      <c r="G18" s="11"/>
    </row>
    <row r="19" customFormat="false" ht="33.75" hidden="false" customHeight="true" outlineLevel="0" collapsed="false">
      <c r="A19" s="6" t="s">
        <v>42</v>
      </c>
      <c r="B19" s="6" t="s">
        <v>43</v>
      </c>
      <c r="C19" s="7" t="s">
        <v>13</v>
      </c>
      <c r="D19" s="8" t="n">
        <v>560000</v>
      </c>
      <c r="E19" s="9" t="n">
        <v>0.27</v>
      </c>
      <c r="F19" s="10" t="n">
        <f aca="false">D19*(1+E19)</f>
        <v>711200</v>
      </c>
      <c r="G19" s="11"/>
    </row>
    <row r="20" customFormat="false" ht="33.75" hidden="false" customHeight="true" outlineLevel="0" collapsed="false">
      <c r="A20" s="6" t="s">
        <v>44</v>
      </c>
      <c r="B20" s="6" t="s">
        <v>45</v>
      </c>
      <c r="C20" s="7" t="s">
        <v>13</v>
      </c>
      <c r="D20" s="8" t="n">
        <v>720000</v>
      </c>
      <c r="E20" s="9" t="n">
        <v>0.27</v>
      </c>
      <c r="F20" s="10" t="n">
        <f aca="false">D20*(1+E20)</f>
        <v>914400</v>
      </c>
      <c r="G20" s="11" t="s">
        <v>46</v>
      </c>
    </row>
    <row r="22" customFormat="false" ht="27.75" hidden="false" customHeight="true" outlineLevel="0" collapsed="false">
      <c r="A22" s="12" t="s">
        <v>47</v>
      </c>
      <c r="B22" s="12"/>
      <c r="C22" s="12"/>
      <c r="D22" s="12"/>
      <c r="E22" s="12"/>
      <c r="F22" s="12"/>
      <c r="G22" s="12"/>
    </row>
  </sheetData>
  <mergeCells count="7">
    <mergeCell ref="A1:G1"/>
    <mergeCell ref="A2:G2"/>
    <mergeCell ref="A3:G3"/>
    <mergeCell ref="A6:G6"/>
    <mergeCell ref="A10:G10"/>
    <mergeCell ref="A15:G15"/>
    <mergeCell ref="A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4" min="3" style="0" width="16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7" min="7" style="0" width="3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48</v>
      </c>
      <c r="B2" s="2"/>
      <c r="C2" s="2"/>
      <c r="D2" s="2"/>
      <c r="E2" s="2"/>
      <c r="F2" s="2"/>
      <c r="G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31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8" hidden="false" customHeight="true" outlineLevel="0" collapsed="false">
      <c r="A6" s="5" t="s">
        <v>49</v>
      </c>
      <c r="B6" s="5"/>
      <c r="C6" s="5"/>
      <c r="D6" s="5"/>
      <c r="E6" s="5"/>
      <c r="F6" s="5"/>
      <c r="G6" s="5"/>
    </row>
    <row r="7" customFormat="false" ht="33.75" hidden="false" customHeight="true" outlineLevel="0" collapsed="false">
      <c r="A7" s="6" t="s">
        <v>50</v>
      </c>
      <c r="B7" s="6" t="s">
        <v>51</v>
      </c>
      <c r="C7" s="7" t="s">
        <v>13</v>
      </c>
      <c r="D7" s="8" t="n">
        <v>280000</v>
      </c>
      <c r="E7" s="9" t="n">
        <v>0.27</v>
      </c>
      <c r="F7" s="10" t="n">
        <f aca="false">D7*(1+E7)</f>
        <v>355600</v>
      </c>
      <c r="G7" s="11" t="s">
        <v>52</v>
      </c>
    </row>
    <row r="8" customFormat="false" ht="33.75" hidden="false" customHeight="true" outlineLevel="0" collapsed="false">
      <c r="A8" s="6" t="s">
        <v>53</v>
      </c>
      <c r="B8" s="6" t="s">
        <v>54</v>
      </c>
      <c r="C8" s="7" t="s">
        <v>13</v>
      </c>
      <c r="D8" s="8" t="n">
        <v>650000</v>
      </c>
      <c r="E8" s="9" t="n">
        <v>0.27</v>
      </c>
      <c r="F8" s="10" t="n">
        <f aca="false">D8*(1+E8)</f>
        <v>825500</v>
      </c>
      <c r="G8" s="11" t="s">
        <v>55</v>
      </c>
    </row>
    <row r="9" customFormat="false" ht="33.75" hidden="false" customHeight="true" outlineLevel="0" collapsed="false">
      <c r="A9" s="6" t="s">
        <v>56</v>
      </c>
      <c r="B9" s="6" t="s">
        <v>57</v>
      </c>
      <c r="C9" s="7" t="s">
        <v>26</v>
      </c>
      <c r="D9" s="8" t="n">
        <v>22000</v>
      </c>
      <c r="E9" s="9" t="n">
        <v>0.27</v>
      </c>
      <c r="F9" s="10" t="n">
        <f aca="false">D9*(1+E9)</f>
        <v>27940</v>
      </c>
      <c r="G9" s="11" t="s">
        <v>58</v>
      </c>
    </row>
    <row r="10" customFormat="false" ht="18" hidden="false" customHeight="true" outlineLevel="0" collapsed="false">
      <c r="A10" s="5" t="s">
        <v>59</v>
      </c>
      <c r="B10" s="5"/>
      <c r="C10" s="5"/>
      <c r="D10" s="5"/>
      <c r="E10" s="5"/>
      <c r="F10" s="5"/>
      <c r="G10" s="5"/>
    </row>
    <row r="11" customFormat="false" ht="33.75" hidden="false" customHeight="true" outlineLevel="0" collapsed="false">
      <c r="A11" s="6" t="s">
        <v>60</v>
      </c>
      <c r="B11" s="6" t="s">
        <v>61</v>
      </c>
      <c r="C11" s="7" t="s">
        <v>13</v>
      </c>
      <c r="D11" s="8" t="n">
        <v>950000</v>
      </c>
      <c r="E11" s="9" t="n">
        <v>0.27</v>
      </c>
      <c r="F11" s="10" t="n">
        <f aca="false">D11*(1+E11)</f>
        <v>1206500</v>
      </c>
      <c r="G11" s="11" t="s">
        <v>62</v>
      </c>
    </row>
    <row r="12" customFormat="false" ht="33.75" hidden="false" customHeight="true" outlineLevel="0" collapsed="false">
      <c r="A12" s="6" t="s">
        <v>63</v>
      </c>
      <c r="B12" s="6" t="s">
        <v>64</v>
      </c>
      <c r="C12" s="7" t="s">
        <v>65</v>
      </c>
      <c r="D12" s="8" t="n">
        <v>180000</v>
      </c>
      <c r="E12" s="9" t="n">
        <v>0.27</v>
      </c>
      <c r="F12" s="10" t="n">
        <f aca="false">D12*(1+E12)</f>
        <v>228600</v>
      </c>
      <c r="G12" s="11" t="s">
        <v>66</v>
      </c>
    </row>
    <row r="13" customFormat="false" ht="18" hidden="false" customHeight="true" outlineLevel="0" collapsed="false">
      <c r="A13" s="5" t="s">
        <v>67</v>
      </c>
      <c r="B13" s="5"/>
      <c r="C13" s="5"/>
      <c r="D13" s="5"/>
      <c r="E13" s="5"/>
      <c r="F13" s="5"/>
      <c r="G13" s="5"/>
    </row>
    <row r="14" customFormat="false" ht="33.75" hidden="false" customHeight="true" outlineLevel="0" collapsed="false">
      <c r="A14" s="6" t="s">
        <v>68</v>
      </c>
      <c r="B14" s="6" t="s">
        <v>69</v>
      </c>
      <c r="C14" s="7" t="s">
        <v>26</v>
      </c>
      <c r="D14" s="8" t="n">
        <v>23500</v>
      </c>
      <c r="E14" s="9" t="n">
        <v>0.27</v>
      </c>
      <c r="F14" s="10" t="n">
        <f aca="false">D14*(1+E14)</f>
        <v>29845</v>
      </c>
      <c r="G14" s="11"/>
    </row>
    <row r="15" customFormat="false" ht="33.75" hidden="false" customHeight="true" outlineLevel="0" collapsed="false">
      <c r="A15" s="6" t="s">
        <v>70</v>
      </c>
      <c r="B15" s="6" t="s">
        <v>71</v>
      </c>
      <c r="C15" s="7" t="s">
        <v>13</v>
      </c>
      <c r="D15" s="8" t="n">
        <v>320000</v>
      </c>
      <c r="E15" s="9" t="n">
        <v>0.27</v>
      </c>
      <c r="F15" s="10" t="n">
        <f aca="false">D15*(1+E15)</f>
        <v>406400</v>
      </c>
      <c r="G15" s="11"/>
    </row>
    <row r="16" customFormat="false" ht="33.75" hidden="false" customHeight="true" outlineLevel="0" collapsed="false">
      <c r="A16" s="6" t="s">
        <v>72</v>
      </c>
      <c r="B16" s="6" t="s">
        <v>73</v>
      </c>
      <c r="C16" s="7" t="s">
        <v>13</v>
      </c>
      <c r="D16" s="8" t="n">
        <v>210000</v>
      </c>
      <c r="E16" s="9" t="n">
        <v>0.27</v>
      </c>
      <c r="F16" s="10" t="n">
        <f aca="false">D16*(1+E16)</f>
        <v>266700</v>
      </c>
      <c r="G16" s="11"/>
    </row>
    <row r="17" customFormat="false" ht="33.75" hidden="false" customHeight="true" outlineLevel="0" collapsed="false">
      <c r="A17" s="6" t="s">
        <v>74</v>
      </c>
      <c r="B17" s="6" t="s">
        <v>75</v>
      </c>
      <c r="C17" s="7" t="s">
        <v>36</v>
      </c>
      <c r="D17" s="8" t="n">
        <v>65000</v>
      </c>
      <c r="E17" s="9" t="n">
        <v>0.27</v>
      </c>
      <c r="F17" s="10" t="n">
        <f aca="false">D17*(1+E17)</f>
        <v>82550</v>
      </c>
      <c r="G17" s="11" t="s">
        <v>76</v>
      </c>
    </row>
    <row r="18" customFormat="false" ht="33.75" hidden="false" customHeight="true" outlineLevel="0" collapsed="false">
      <c r="A18" s="6" t="s">
        <v>77</v>
      </c>
      <c r="B18" s="6" t="s">
        <v>78</v>
      </c>
      <c r="C18" s="7" t="s">
        <v>36</v>
      </c>
      <c r="D18" s="8" t="n">
        <v>35000</v>
      </c>
      <c r="E18" s="9" t="n">
        <v>0.27</v>
      </c>
      <c r="F18" s="10" t="n">
        <f aca="false">D18*(1+E18)</f>
        <v>44450</v>
      </c>
      <c r="G18" s="11"/>
    </row>
    <row r="20" customFormat="false" ht="27.75" hidden="false" customHeight="true" outlineLevel="0" collapsed="false">
      <c r="A20" s="12" t="s">
        <v>47</v>
      </c>
      <c r="B20" s="12"/>
      <c r="C20" s="12"/>
      <c r="D20" s="12"/>
      <c r="E20" s="12"/>
      <c r="F20" s="12"/>
      <c r="G20" s="12"/>
    </row>
  </sheetData>
  <mergeCells count="7">
    <mergeCell ref="A1:G1"/>
    <mergeCell ref="A2:G2"/>
    <mergeCell ref="A3:G3"/>
    <mergeCell ref="A6:G6"/>
    <mergeCell ref="A10:G10"/>
    <mergeCell ref="A13:G13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4" min="3" style="0" width="16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7" min="7" style="0" width="3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79</v>
      </c>
      <c r="B2" s="2"/>
      <c r="C2" s="2"/>
      <c r="D2" s="2"/>
      <c r="E2" s="2"/>
      <c r="F2" s="2"/>
      <c r="G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31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8" hidden="false" customHeight="true" outlineLevel="0" collapsed="false">
      <c r="A6" s="5" t="s">
        <v>80</v>
      </c>
      <c r="B6" s="5"/>
      <c r="C6" s="5"/>
      <c r="D6" s="5"/>
      <c r="E6" s="5"/>
      <c r="F6" s="5"/>
      <c r="G6" s="5"/>
    </row>
    <row r="7" customFormat="false" ht="33.75" hidden="false" customHeight="true" outlineLevel="0" collapsed="false">
      <c r="A7" s="6" t="s">
        <v>81</v>
      </c>
      <c r="B7" s="6" t="s">
        <v>82</v>
      </c>
      <c r="C7" s="7" t="s">
        <v>26</v>
      </c>
      <c r="D7" s="8" t="n">
        <v>38000</v>
      </c>
      <c r="E7" s="9" t="n">
        <v>0.27</v>
      </c>
      <c r="F7" s="10" t="n">
        <f aca="false">D7*(1+E7)</f>
        <v>48260</v>
      </c>
      <c r="G7" s="11" t="s">
        <v>83</v>
      </c>
    </row>
    <row r="8" customFormat="false" ht="33.75" hidden="false" customHeight="true" outlineLevel="0" collapsed="false">
      <c r="A8" s="6" t="s">
        <v>84</v>
      </c>
      <c r="B8" s="6" t="s">
        <v>85</v>
      </c>
      <c r="C8" s="7" t="s">
        <v>13</v>
      </c>
      <c r="D8" s="8" t="n">
        <v>890000</v>
      </c>
      <c r="E8" s="9" t="n">
        <v>0.27</v>
      </c>
      <c r="F8" s="10" t="n">
        <f aca="false">D8*(1+E8)</f>
        <v>1130300</v>
      </c>
      <c r="G8" s="11"/>
    </row>
    <row r="9" customFormat="false" ht="33.75" hidden="false" customHeight="true" outlineLevel="0" collapsed="false">
      <c r="A9" s="6" t="s">
        <v>86</v>
      </c>
      <c r="B9" s="6" t="s">
        <v>87</v>
      </c>
      <c r="C9" s="7" t="s">
        <v>88</v>
      </c>
      <c r="D9" s="8" t="n">
        <v>420000</v>
      </c>
      <c r="E9" s="9" t="n">
        <v>0.27</v>
      </c>
      <c r="F9" s="10" t="n">
        <f aca="false">D9*(1+E9)</f>
        <v>533400</v>
      </c>
      <c r="G9" s="11" t="s">
        <v>89</v>
      </c>
    </row>
    <row r="10" customFormat="false" ht="18" hidden="false" customHeight="true" outlineLevel="0" collapsed="false">
      <c r="A10" s="5" t="s">
        <v>90</v>
      </c>
      <c r="B10" s="5"/>
      <c r="C10" s="5"/>
      <c r="D10" s="5"/>
      <c r="E10" s="5"/>
      <c r="F10" s="5"/>
      <c r="G10" s="5"/>
    </row>
    <row r="11" customFormat="false" ht="33.75" hidden="false" customHeight="true" outlineLevel="0" collapsed="false">
      <c r="A11" s="6" t="s">
        <v>91</v>
      </c>
      <c r="B11" s="6" t="s">
        <v>92</v>
      </c>
      <c r="C11" s="7" t="s">
        <v>26</v>
      </c>
      <c r="D11" s="8" t="n">
        <v>29500</v>
      </c>
      <c r="E11" s="9" t="n">
        <v>0.27</v>
      </c>
      <c r="F11" s="10" t="n">
        <f aca="false">D11*(1+E11)</f>
        <v>37465</v>
      </c>
      <c r="G11" s="11"/>
    </row>
    <row r="12" customFormat="false" ht="33.75" hidden="false" customHeight="true" outlineLevel="0" collapsed="false">
      <c r="A12" s="6" t="s">
        <v>93</v>
      </c>
      <c r="B12" s="6" t="s">
        <v>94</v>
      </c>
      <c r="C12" s="7" t="s">
        <v>88</v>
      </c>
      <c r="D12" s="8" t="n">
        <v>350000</v>
      </c>
      <c r="E12" s="9" t="n">
        <v>0.27</v>
      </c>
      <c r="F12" s="10" t="n">
        <f aca="false">D12*(1+E12)</f>
        <v>444500</v>
      </c>
      <c r="G12" s="11"/>
    </row>
    <row r="13" customFormat="false" ht="33.75" hidden="false" customHeight="true" outlineLevel="0" collapsed="false">
      <c r="A13" s="6" t="s">
        <v>95</v>
      </c>
      <c r="B13" s="6" t="s">
        <v>96</v>
      </c>
      <c r="C13" s="7" t="s">
        <v>13</v>
      </c>
      <c r="D13" s="8" t="n">
        <v>540000</v>
      </c>
      <c r="E13" s="9" t="n">
        <v>0.27</v>
      </c>
      <c r="F13" s="10" t="n">
        <f aca="false">D13*(1+E13)</f>
        <v>685800</v>
      </c>
      <c r="G13" s="11"/>
    </row>
    <row r="14" customFormat="false" ht="18" hidden="false" customHeight="true" outlineLevel="0" collapsed="false">
      <c r="A14" s="5" t="s">
        <v>97</v>
      </c>
      <c r="B14" s="5"/>
      <c r="C14" s="5"/>
      <c r="D14" s="5"/>
      <c r="E14" s="5"/>
      <c r="F14" s="5"/>
      <c r="G14" s="5"/>
    </row>
    <row r="15" customFormat="false" ht="33.75" hidden="false" customHeight="true" outlineLevel="0" collapsed="false">
      <c r="A15" s="6" t="s">
        <v>98</v>
      </c>
      <c r="B15" s="6" t="s">
        <v>99</v>
      </c>
      <c r="C15" s="7" t="s">
        <v>36</v>
      </c>
      <c r="D15" s="8" t="n">
        <v>260000</v>
      </c>
      <c r="E15" s="9" t="n">
        <v>0.27</v>
      </c>
      <c r="F15" s="10" t="n">
        <f aca="false">D15*(1+E15)</f>
        <v>330200</v>
      </c>
      <c r="G15" s="11" t="s">
        <v>100</v>
      </c>
    </row>
    <row r="16" customFormat="false" ht="33.75" hidden="false" customHeight="true" outlineLevel="0" collapsed="false">
      <c r="A16" s="6" t="s">
        <v>101</v>
      </c>
      <c r="B16" s="6" t="s">
        <v>102</v>
      </c>
      <c r="C16" s="7" t="s">
        <v>13</v>
      </c>
      <c r="D16" s="8" t="n">
        <v>610000</v>
      </c>
      <c r="E16" s="9" t="n">
        <v>0.27</v>
      </c>
      <c r="F16" s="10" t="n">
        <f aca="false">D16*(1+E16)</f>
        <v>774700</v>
      </c>
      <c r="G16" s="11"/>
    </row>
    <row r="17" customFormat="false" ht="33.75" hidden="false" customHeight="true" outlineLevel="0" collapsed="false">
      <c r="A17" s="6" t="s">
        <v>103</v>
      </c>
      <c r="B17" s="6" t="s">
        <v>104</v>
      </c>
      <c r="C17" s="7" t="s">
        <v>36</v>
      </c>
      <c r="D17" s="8" t="n">
        <v>150000</v>
      </c>
      <c r="E17" s="9" t="n">
        <v>0.27</v>
      </c>
      <c r="F17" s="10" t="n">
        <f aca="false">D17*(1+E17)</f>
        <v>190500</v>
      </c>
      <c r="G17" s="11" t="s">
        <v>105</v>
      </c>
    </row>
    <row r="19" customFormat="false" ht="27.75" hidden="false" customHeight="true" outlineLevel="0" collapsed="false">
      <c r="A19" s="12" t="s">
        <v>47</v>
      </c>
      <c r="B19" s="12"/>
      <c r="C19" s="12"/>
      <c r="D19" s="12"/>
      <c r="E19" s="12"/>
      <c r="F19" s="12"/>
      <c r="G19" s="12"/>
    </row>
  </sheetData>
  <mergeCells count="7">
    <mergeCell ref="A1:G1"/>
    <mergeCell ref="A2:G2"/>
    <mergeCell ref="A3:G3"/>
    <mergeCell ref="A6:G6"/>
    <mergeCell ref="A10:G10"/>
    <mergeCell ref="A14:G14"/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2026-09-07T06:37:06Z</dcterms:created>
  <dc:creator>openpyxl</dc:creator>
  <dc:description/>
  <dc:language>en-US</dc:language>
  <cp:lastModifiedBy/>
  <dcterms:modified xsi:type="dcterms:W3CDTF">2026-09-07T06:37:06Z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