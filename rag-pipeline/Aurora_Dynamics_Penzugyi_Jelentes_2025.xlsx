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zetői összefoglaló" sheetId="1" state="visible" r:id="rId3"/>
    <sheet name="Eredménykimutatás" sheetId="2" state="visible" r:id="rId4"/>
    <sheet name="Cash flow kimutatás" sheetId="3" state="visible" r:id="rId5"/>
    <sheet name="Feltételezése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<sst xmlns="http://schemas.openxmlformats.org/spreadsheetml/2006/main" count="93" uniqueCount="77">
  <si>
    <t xml:space="preserve">Aurora Dynamics Kft. – 2025. évi vezetői összefoglaló</t>
  </si>
  <si>
    <t xml:space="preserve">Kiemelt pénzügyi mutatók – élő hivatkozással az Eredménykimutatás és a Cash flow kimutatás munkalapokra</t>
  </si>
  <si>
    <t xml:space="preserve">Nettó árbevétel</t>
  </si>
  <si>
    <t xml:space="preserve">EBITDA</t>
  </si>
  <si>
    <t xml:space="preserve">EBIT (üzemi eredmény)</t>
  </si>
  <si>
    <t xml:space="preserve">Adózott eredmény</t>
  </si>
  <si>
    <t xml:space="preserve">Operatív cash flow</t>
  </si>
  <si>
    <t xml:space="preserve">Záró pénzkészlet</t>
  </si>
  <si>
    <t xml:space="preserve">EBITDA-marzs</t>
  </si>
  <si>
    <t xml:space="preserve">Nettó eredményhányad</t>
  </si>
  <si>
    <t xml:space="preserve">Negyedév</t>
  </si>
  <si>
    <t xml:space="preserve">Árbevétel (Ft)</t>
  </si>
  <si>
    <t xml:space="preserve">EBITDA (Ft)</t>
  </si>
  <si>
    <t xml:space="preserve">EBIT (Ft)</t>
  </si>
  <si>
    <t xml:space="preserve">Adózott eredmény (Ft)</t>
  </si>
  <si>
    <t xml:space="preserve">Záró pénzkészlet (Ft)</t>
  </si>
  <si>
    <t xml:space="preserve">I. negyedév</t>
  </si>
  <si>
    <t xml:space="preserve">II. negyedév</t>
  </si>
  <si>
    <t xml:space="preserve">III. negyedév</t>
  </si>
  <si>
    <t xml:space="preserve">IV. negyedév</t>
  </si>
  <si>
    <t xml:space="preserve">2025. évi összesen</t>
  </si>
  <si>
    <t xml:space="preserve">A táblázat és a fenti mutatók minden cellája az Eredménykimutatás és a Cash flow kimutatás munkalapokra mutató élő hivatkozás; a részletes levezetés ott tekinthető meg.</t>
  </si>
  <si>
    <t xml:space="preserve">Aurora Dynamics Kft. – 2025. évi teljes pénzügyi jelentés</t>
  </si>
  <si>
    <t xml:space="preserve">Eredménykimutatás (összköltség eljárással, egyszerűsített séma)</t>
  </si>
  <si>
    <t xml:space="preserve">Az árbevétel- és költségsorok forrása: a 2025. évi bevételi és kiadási jelentés; az écs és a pénzügyi eredmény becsült érték – lásd a Feltételezések munkalapot.</t>
  </si>
  <si>
    <t xml:space="preserve">Megnevezés</t>
  </si>
  <si>
    <t xml:space="preserve">Üzemi költségek és ráfordítások:</t>
  </si>
  <si>
    <t xml:space="preserve">   Személyi jellegű ráfordítások (bér- és járulékköltség)</t>
  </si>
  <si>
    <t xml:space="preserve">   Igénybe vett szolgáltatások (alvállalkozói díjak)</t>
  </si>
  <si>
    <t xml:space="preserve">   Egyéb anyagjellegű ráfordítások (szoftverlicenc, felhőinfrastruktúra, utazás, képzés)</t>
  </si>
  <si>
    <t xml:space="preserve">Üzemi költségek és ráfordítások összesen (écs nélkül)</t>
  </si>
  <si>
    <t xml:space="preserve">EBITDA (kamat-, adó- és écs-fizetés előtti eredmény)</t>
  </si>
  <si>
    <t xml:space="preserve">Értékcsökkenési leírás (écs)</t>
  </si>
  <si>
    <t xml:space="preserve">Üzemi (üzleti) tevékenység eredménye (EBIT)</t>
  </si>
  <si>
    <t xml:space="preserve">Pénzügyi műveletek eredménye (kamatbevétel – banki költségek)</t>
  </si>
  <si>
    <t xml:space="preserve">Adózás előtti eredmény</t>
  </si>
  <si>
    <t xml:space="preserve">Társasági adó (9%)</t>
  </si>
  <si>
    <t xml:space="preserve">EBITDA-marzs (EBITDA / árbevétel)</t>
  </si>
  <si>
    <t xml:space="preserve">Nettó eredményhányad (adózott eredmény / árbevétel)</t>
  </si>
  <si>
    <t xml:space="preserve">Cash flow kimutatás (indirekt módszerrel)</t>
  </si>
  <si>
    <t xml:space="preserve">Az adózott eredmény és az écs sora közvetlen hivatkozással az Eredménykimutatás munkalapról származik; a forgótőke-, beruházási és finanszírozási tételek becsült értékek – lásd a Feltételezések munkalapot.</t>
  </si>
  <si>
    <t xml:space="preserve">Működési (operatív) cash flow</t>
  </si>
  <si>
    <t xml:space="preserve">   Adózott eredmény (Eredménykimutatás alapján)</t>
  </si>
  <si>
    <t xml:space="preserve">   Écs visszaírása (nem pénzmozgású tétel)</t>
  </si>
  <si>
    <t xml:space="preserve">   Vevőkövetelések állományváltozása</t>
  </si>
  <si>
    <t xml:space="preserve">   Szállítói kötelezettségek állományváltozása</t>
  </si>
  <si>
    <t xml:space="preserve">   Egyéb rövid lejáratú tételek változása</t>
  </si>
  <si>
    <t xml:space="preserve">   Forgótőke-változás összesen</t>
  </si>
  <si>
    <t xml:space="preserve">Működési (operatív) cash flow összesen</t>
  </si>
  <si>
    <t xml:space="preserve">Befektetési cash flow</t>
  </si>
  <si>
    <t xml:space="preserve">   Tárgyi eszközök beszerzése (IT-eszközök, szerverek)</t>
  </si>
  <si>
    <t xml:space="preserve">Befektetési cash flow összesen</t>
  </si>
  <si>
    <t xml:space="preserve">Finanszírozási cash flow</t>
  </si>
  <si>
    <t xml:space="preserve">   Osztalékfizetés a tulajdonosok részére</t>
  </si>
  <si>
    <t xml:space="preserve">Finanszírozási cash flow összesen</t>
  </si>
  <si>
    <t xml:space="preserve">Pénzeszközök nettó változása</t>
  </si>
  <si>
    <t xml:space="preserve">Nyitó pénzkészlet</t>
  </si>
  <si>
    <t xml:space="preserve">Aurora Dynamics Kft. – Feltételezések és források</t>
  </si>
  <si>
    <t xml:space="preserve">A 2025. évi teljes pénzügyi jelentés elkészítéséhez használt becslések és adatforrások</t>
  </si>
  <si>
    <t xml:space="preserve">Tétel</t>
  </si>
  <si>
    <t xml:space="preserve">Feltételezés / forrás</t>
  </si>
  <si>
    <t xml:space="preserve">Nettó árbevétel és üzemi költségek (bér, alvállalkozói díj, egyéb anyagjellegű)</t>
  </si>
  <si>
    <t xml:space="preserve">A 2025. évi bevételi és kiadási jelentés (Cloud integráció, Webfejlesztés, Tanácsadás munkalapok) szolgáltatásonkénti és negyedéves tételes adatai alapján, kategóriánként összesítve.</t>
  </si>
  <si>
    <t xml:space="preserve">Becsült érték: irodai IT-eszközök (laptopok, monitorok, hálózati eszközök, szerverek) lineáris écs-je, negyedévente egyenlő ütemben elszámolva (225 000 Ft/negyedév, éves szinten 900 000 Ft).</t>
  </si>
  <si>
    <t xml:space="preserve">Pénzügyi műveletek eredménye</t>
  </si>
  <si>
    <t xml:space="preserve">Becsült kamatbevétel a vállalati bankszámlán tartott pénzeszközök után, banki költségekkel csökkentve; a pénzkészlet negyedéves növekedésével arányosan emelkedő tétel.</t>
  </si>
  <si>
    <t xml:space="preserve">Társasági adó mértéke</t>
  </si>
  <si>
    <t xml:space="preserve">9%, a Magyarországon jelenleg hatályos társasági adókulcs, egyéb adóalap-korrekció nélkül.</t>
  </si>
  <si>
    <t xml:space="preserve">Vevőkövetelések és szállítói kötelezettségek állományváltozása</t>
  </si>
  <si>
    <t xml:space="preserve">Becsült érték, amely a bevétel negyedéves növekedéséhez igazodik (a kintlévőségek az árbevétellel arányosan nőnek, a szállítói kötelezettségek mérsékeltebb ütemben).</t>
  </si>
  <si>
    <t xml:space="preserve">Tárgyi eszközök beszerzése (capex)</t>
  </si>
  <si>
    <t xml:space="preserve">Becsült éves beruházási keret informatikai eszközökre (laptopok, szerverek), negyedévenként eltérő ütemezéssel, összhangban az écs alapjául szolgáló eszközállománnyal.</t>
  </si>
  <si>
    <t xml:space="preserve">Osztalékfizetés</t>
  </si>
  <si>
    <t xml:space="preserve">Feltételezett egyszeri, IV. negyedévi tulajdonosi osztalékkifizetés (5 000 000 Ft).</t>
  </si>
  <si>
    <t xml:space="preserve">Nyitó pénzkészlet (2025.01.01)</t>
  </si>
  <si>
    <t xml:space="preserve">Feltételezett kezdő pénzeszköz-állomány: 8 500 000 Ft.</t>
  </si>
  <si>
    <t xml:space="preserve">Megjegyzés: a jelentés vezetői tájékoztatásra készült, nem minősül hivatalos, könyvvizsgáló által ellenőrzött beszámolónak.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</si>
</sst>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E]#,##0&quot; Ft&quot;"/>
    <numFmt numFmtId="166" formatCode="[$-40E]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1565C0"/>
        <bgColor rgb="FF3366FF"/>
      </patternFill>
    </fill>
    <fill>
      <patternFill patternType="solid">
        <fgColor rgb="FF1F3864"/>
        <bgColor rgb="FF333399"/>
      </patternFill>
    </fill>
    <fill>
      <patternFill patternType="solid">
        <fgColor rgb="FF6A1B9A"/>
        <bgColor rgb="FF800080"/>
      </patternFill>
    </fill>
    <fill>
      <patternFill patternType="solid">
        <fgColor rgb="FFC62828"/>
        <bgColor rgb="FF993366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7.75" hidden="false" customHeight="true" outlineLevel="0" collapsed="false">
      <c r="A4" s="3" t="s">
        <v>2</v>
      </c>
      <c r="B4" s="3"/>
      <c r="C4" s="3"/>
      <c r="D4" s="4" t="s">
        <v>3</v>
      </c>
      <c r="E4" s="4"/>
      <c r="F4" s="4"/>
      <c r="G4" s="4" t="s">
        <v>4</v>
      </c>
      <c r="H4" s="4"/>
      <c r="I4" s="4"/>
      <c r="J4" s="5" t="s">
        <v>5</v>
      </c>
      <c r="K4" s="5"/>
      <c r="L4" s="5"/>
      <c r="M4" s="6" t="s">
        <v>6</v>
      </c>
      <c r="N4" s="6"/>
      <c r="O4" s="6"/>
      <c r="P4" s="6" t="s">
        <v>7</v>
      </c>
      <c r="Q4" s="6"/>
      <c r="R4" s="6"/>
      <c r="S4" s="7" t="s">
        <v>8</v>
      </c>
      <c r="T4" s="7"/>
      <c r="U4" s="7"/>
      <c r="V4" s="7" t="s">
        <v>9</v>
      </c>
      <c r="W4" s="7"/>
      <c r="X4" s="7"/>
    </row>
    <row r="5" customFormat="false" ht="30" hidden="false" customHeight="true" outlineLevel="0" collapsed="false">
      <c r="A5" s="8" t="n">
        <f aca="false">Eredménykimutatás!F6</f>
        <v>46971500</v>
      </c>
      <c r="B5" s="8"/>
      <c r="C5" s="8"/>
      <c r="D5" s="9" t="n">
        <f aca="false">Eredménykimutatás!F12</f>
        <v>23721500</v>
      </c>
      <c r="E5" s="9"/>
      <c r="F5" s="9"/>
      <c r="G5" s="9" t="n">
        <f aca="false">Eredménykimutatás!F14</f>
        <v>22821500</v>
      </c>
      <c r="H5" s="9"/>
      <c r="I5" s="9"/>
      <c r="J5" s="10" t="n">
        <f aca="false">Eredménykimutatás!F18</f>
        <v>20813065</v>
      </c>
      <c r="K5" s="10"/>
      <c r="L5" s="10"/>
      <c r="M5" s="11" t="n">
        <f aca="false">'Cash flow kimutatás'!F13</f>
        <v>21013065</v>
      </c>
      <c r="N5" s="11"/>
      <c r="O5" s="11"/>
      <c r="P5" s="11" t="n">
        <f aca="false">'Cash flow kimutatás'!F25</f>
        <v>23313065</v>
      </c>
      <c r="Q5" s="11"/>
      <c r="R5" s="11"/>
      <c r="S5" s="12" t="n">
        <f aca="false">Eredménykimutatás!F20</f>
        <v>0.505019000883515</v>
      </c>
      <c r="T5" s="12"/>
      <c r="U5" s="12"/>
      <c r="V5" s="12" t="n">
        <f aca="false">Eredménykimutatás!F21</f>
        <v>0.44309985842479</v>
      </c>
      <c r="W5" s="12"/>
      <c r="X5" s="12"/>
    </row>
    <row r="7" customFormat="false" ht="24" hidden="false" customHeight="true" outlineLevel="0" collapsed="false">
      <c r="A7" s="13" t="s">
        <v>10</v>
      </c>
      <c r="B7" s="13" t="s">
        <v>11</v>
      </c>
      <c r="C7" s="13" t="s">
        <v>12</v>
      </c>
      <c r="D7" s="13" t="s">
        <v>13</v>
      </c>
      <c r="E7" s="13" t="s">
        <v>14</v>
      </c>
      <c r="F7" s="13" t="s">
        <v>15</v>
      </c>
    </row>
    <row r="8" customFormat="false" ht="15" hidden="false" customHeight="false" outlineLevel="0" collapsed="false">
      <c r="A8" s="14" t="s">
        <v>16</v>
      </c>
      <c r="B8" s="15" t="n">
        <f aca="false">Eredménykimutatás!B6</f>
        <v>10303500</v>
      </c>
      <c r="C8" s="15" t="n">
        <f aca="false">Eredménykimutatás!B12</f>
        <v>4808500</v>
      </c>
      <c r="D8" s="15" t="n">
        <f aca="false">Eredménykimutatás!B14</f>
        <v>4583500</v>
      </c>
      <c r="E8" s="15" t="n">
        <f aca="false">Eredménykimutatás!B18</f>
        <v>4175535</v>
      </c>
      <c r="F8" s="15" t="n">
        <f aca="false">'Cash flow kimutatás'!B25</f>
        <v>12420535</v>
      </c>
    </row>
    <row r="9" customFormat="false" ht="15" hidden="false" customHeight="false" outlineLevel="0" collapsed="false">
      <c r="A9" s="14" t="s">
        <v>17</v>
      </c>
      <c r="B9" s="15" t="n">
        <f aca="false">Eredménykimutatás!C6</f>
        <v>11425000</v>
      </c>
      <c r="C9" s="15" t="n">
        <f aca="false">Eredménykimutatás!C12</f>
        <v>5580000</v>
      </c>
      <c r="D9" s="15" t="n">
        <f aca="false">Eredménykimutatás!C14</f>
        <v>5355000</v>
      </c>
      <c r="E9" s="15" t="n">
        <f aca="false">Eredménykimutatás!C18</f>
        <v>4882150</v>
      </c>
      <c r="F9" s="15" t="n">
        <f aca="false">'Cash flow kimutatás'!C25</f>
        <v>17122685</v>
      </c>
    </row>
    <row r="10" customFormat="false" ht="15" hidden="false" customHeight="false" outlineLevel="0" collapsed="false">
      <c r="A10" s="14" t="s">
        <v>18</v>
      </c>
      <c r="B10" s="15" t="n">
        <f aca="false">Eredménykimutatás!D6</f>
        <v>11958000</v>
      </c>
      <c r="C10" s="15" t="n">
        <f aca="false">Eredménykimutatás!D12</f>
        <v>6113000</v>
      </c>
      <c r="D10" s="15" t="n">
        <f aca="false">Eredménykimutatás!D14</f>
        <v>5888000</v>
      </c>
      <c r="E10" s="15" t="n">
        <f aca="false">Eredménykimutatás!D18</f>
        <v>5371730</v>
      </c>
      <c r="F10" s="15" t="n">
        <f aca="false">'Cash flow kimutatás'!D25</f>
        <v>22389415</v>
      </c>
    </row>
    <row r="11" customFormat="false" ht="15" hidden="false" customHeight="false" outlineLevel="0" collapsed="false">
      <c r="A11" s="14" t="s">
        <v>19</v>
      </c>
      <c r="B11" s="15" t="n">
        <f aca="false">Eredménykimutatás!E6</f>
        <v>13285000</v>
      </c>
      <c r="C11" s="15" t="n">
        <f aca="false">Eredménykimutatás!E12</f>
        <v>7220000</v>
      </c>
      <c r="D11" s="15" t="n">
        <f aca="false">Eredménykimutatás!E14</f>
        <v>6995000</v>
      </c>
      <c r="E11" s="15" t="n">
        <f aca="false">Eredménykimutatás!E18</f>
        <v>6383650</v>
      </c>
      <c r="F11" s="15" t="n">
        <f aca="false">'Cash flow kimutatás'!E25</f>
        <v>23313065</v>
      </c>
    </row>
    <row r="12" customFormat="false" ht="23.85" hidden="false" customHeight="false" outlineLevel="0" collapsed="false">
      <c r="A12" s="16" t="s">
        <v>20</v>
      </c>
      <c r="B12" s="17" t="n">
        <f aca="false">Eredménykimutatás!F6</f>
        <v>46971500</v>
      </c>
      <c r="C12" s="17" t="n">
        <f aca="false">Eredménykimutatás!F12</f>
        <v>23721500</v>
      </c>
      <c r="D12" s="17" t="n">
        <f aca="false">Eredménykimutatás!F14</f>
        <v>22821500</v>
      </c>
      <c r="E12" s="17" t="n">
        <f aca="false">Eredménykimutatás!F18</f>
        <v>20813065</v>
      </c>
      <c r="F12" s="17" t="n">
        <f aca="false">'Cash flow kimutatás'!F25</f>
        <v>23313065</v>
      </c>
    </row>
    <row r="14" customFormat="false" ht="25.5" hidden="false" customHeight="true" outlineLevel="0" collapsed="false">
      <c r="A14" s="18" t="s">
        <v>21</v>
      </c>
      <c r="B14" s="18"/>
      <c r="C14" s="18"/>
      <c r="D14" s="18"/>
      <c r="E14" s="18"/>
      <c r="F14" s="18"/>
    </row>
  </sheetData>
  <mergeCells count="19">
    <mergeCell ref="A1:M1"/>
    <mergeCell ref="A2:M2"/>
    <mergeCell ref="A4:C4"/>
    <mergeCell ref="D4:F4"/>
    <mergeCell ref="G4:I4"/>
    <mergeCell ref="J4:L4"/>
    <mergeCell ref="M4:O4"/>
    <mergeCell ref="P4:R4"/>
    <mergeCell ref="S4:U4"/>
    <mergeCell ref="V4:X4"/>
    <mergeCell ref="A5:C5"/>
    <mergeCell ref="D5:F5"/>
    <mergeCell ref="G5:I5"/>
    <mergeCell ref="J5:L5"/>
    <mergeCell ref="M5:O5"/>
    <mergeCell ref="P5:R5"/>
    <mergeCell ref="S5:U5"/>
    <mergeCell ref="V5:X5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22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19" t="s">
        <v>24</v>
      </c>
      <c r="B3" s="19"/>
      <c r="C3" s="19"/>
      <c r="D3" s="19"/>
      <c r="E3" s="19"/>
      <c r="F3" s="19"/>
    </row>
    <row r="5" customFormat="false" ht="24" hidden="false" customHeight="true" outlineLevel="0" collapsed="false">
      <c r="A5" s="13" t="s">
        <v>25</v>
      </c>
      <c r="B5" s="13" t="s">
        <v>16</v>
      </c>
      <c r="C5" s="13" t="s">
        <v>17</v>
      </c>
      <c r="D5" s="13" t="s">
        <v>18</v>
      </c>
      <c r="E5" s="13" t="s">
        <v>19</v>
      </c>
      <c r="F5" s="13" t="s">
        <v>20</v>
      </c>
    </row>
    <row r="6" customFormat="false" ht="15" hidden="false" customHeight="false" outlineLevel="0" collapsed="false">
      <c r="A6" s="20" t="s">
        <v>2</v>
      </c>
      <c r="B6" s="21" t="n">
        <v>10303500</v>
      </c>
      <c r="C6" s="21" t="n">
        <v>11425000</v>
      </c>
      <c r="D6" s="21" t="n">
        <v>11958000</v>
      </c>
      <c r="E6" s="21" t="n">
        <v>13285000</v>
      </c>
      <c r="F6" s="22" t="n">
        <f aca="false">SUM(B6:E6)</f>
        <v>46971500</v>
      </c>
    </row>
    <row r="7" customFormat="false" ht="15" hidden="false" customHeight="false" outlineLevel="0" collapsed="false">
      <c r="A7" s="23" t="s">
        <v>26</v>
      </c>
      <c r="B7" s="24"/>
      <c r="C7" s="24"/>
      <c r="D7" s="24"/>
      <c r="E7" s="24"/>
      <c r="F7" s="24"/>
    </row>
    <row r="8" customFormat="false" ht="15" hidden="false" customHeight="false" outlineLevel="0" collapsed="false">
      <c r="A8" s="14" t="s">
        <v>27</v>
      </c>
      <c r="B8" s="25" t="n">
        <v>3950000</v>
      </c>
      <c r="C8" s="25" t="n">
        <v>4120000</v>
      </c>
      <c r="D8" s="25" t="n">
        <v>4220000</v>
      </c>
      <c r="E8" s="25" t="n">
        <v>4310000</v>
      </c>
      <c r="F8" s="25" t="n">
        <f aca="false">SUM(B8:E8)</f>
        <v>16600000</v>
      </c>
    </row>
    <row r="9" customFormat="false" ht="15" hidden="false" customHeight="false" outlineLevel="0" collapsed="false">
      <c r="A9" s="14" t="s">
        <v>28</v>
      </c>
      <c r="B9" s="25" t="n">
        <v>820000</v>
      </c>
      <c r="C9" s="25" t="n">
        <v>970000</v>
      </c>
      <c r="D9" s="25" t="n">
        <v>855000</v>
      </c>
      <c r="E9" s="25" t="n">
        <v>920000</v>
      </c>
      <c r="F9" s="25" t="n">
        <f aca="false">SUM(B9:E9)</f>
        <v>3565000</v>
      </c>
    </row>
    <row r="10" customFormat="false" ht="23.85" hidden="false" customHeight="false" outlineLevel="0" collapsed="false">
      <c r="A10" s="14" t="s">
        <v>29</v>
      </c>
      <c r="B10" s="25" t="n">
        <v>725000</v>
      </c>
      <c r="C10" s="25" t="n">
        <v>755000</v>
      </c>
      <c r="D10" s="25" t="n">
        <v>770000</v>
      </c>
      <c r="E10" s="25" t="n">
        <v>835000</v>
      </c>
      <c r="F10" s="25" t="n">
        <f aca="false">SUM(B10:E10)</f>
        <v>3085000</v>
      </c>
    </row>
    <row r="11" customFormat="false" ht="23.85" hidden="false" customHeight="false" outlineLevel="0" collapsed="false">
      <c r="A11" s="16" t="s">
        <v>30</v>
      </c>
      <c r="B11" s="17" t="n">
        <f aca="false">B8+B9+B10</f>
        <v>5495000</v>
      </c>
      <c r="C11" s="17" t="n">
        <f aca="false">C8+C9+C10</f>
        <v>5845000</v>
      </c>
      <c r="D11" s="17" t="n">
        <f aca="false">D8+D9+D10</f>
        <v>5845000</v>
      </c>
      <c r="E11" s="17" t="n">
        <f aca="false">E8+E9+E10</f>
        <v>6065000</v>
      </c>
      <c r="F11" s="17" t="n">
        <f aca="false">F8+F9+F10</f>
        <v>23250000</v>
      </c>
    </row>
    <row r="12" customFormat="false" ht="15" hidden="false" customHeight="false" outlineLevel="0" collapsed="false">
      <c r="A12" s="20" t="s">
        <v>31</v>
      </c>
      <c r="B12" s="22" t="n">
        <f aca="false">B6-B11</f>
        <v>4808500</v>
      </c>
      <c r="C12" s="22" t="n">
        <f aca="false">C6-C11</f>
        <v>5580000</v>
      </c>
      <c r="D12" s="22" t="n">
        <f aca="false">D6-D11</f>
        <v>6113000</v>
      </c>
      <c r="E12" s="22" t="n">
        <f aca="false">E6-E11</f>
        <v>7220000</v>
      </c>
      <c r="F12" s="22" t="n">
        <f aca="false">F6-F11</f>
        <v>23721500</v>
      </c>
    </row>
    <row r="13" customFormat="false" ht="15" hidden="false" customHeight="false" outlineLevel="0" collapsed="false">
      <c r="A13" s="14" t="s">
        <v>32</v>
      </c>
      <c r="B13" s="25" t="n">
        <v>225000</v>
      </c>
      <c r="C13" s="25" t="n">
        <v>225000</v>
      </c>
      <c r="D13" s="25" t="n">
        <v>225000</v>
      </c>
      <c r="E13" s="25" t="n">
        <v>225000</v>
      </c>
      <c r="F13" s="25" t="n">
        <f aca="false">SUM(B13:E13)</f>
        <v>900000</v>
      </c>
    </row>
    <row r="14" customFormat="false" ht="15" hidden="false" customHeight="false" outlineLevel="0" collapsed="false">
      <c r="A14" s="16" t="s">
        <v>33</v>
      </c>
      <c r="B14" s="17" t="n">
        <f aca="false">B12-B13</f>
        <v>4583500</v>
      </c>
      <c r="C14" s="17" t="n">
        <f aca="false">C12-C13</f>
        <v>5355000</v>
      </c>
      <c r="D14" s="17" t="n">
        <f aca="false">D12-D13</f>
        <v>5888000</v>
      </c>
      <c r="E14" s="17" t="n">
        <f aca="false">E12-E13</f>
        <v>6995000</v>
      </c>
      <c r="F14" s="17" t="n">
        <f aca="false">F12-F13</f>
        <v>22821500</v>
      </c>
    </row>
    <row r="15" customFormat="false" ht="23.85" hidden="false" customHeight="false" outlineLevel="0" collapsed="false">
      <c r="A15" s="14" t="s">
        <v>34</v>
      </c>
      <c r="B15" s="25" t="n">
        <v>5000</v>
      </c>
      <c r="C15" s="25" t="n">
        <v>10000</v>
      </c>
      <c r="D15" s="25" t="n">
        <v>15000</v>
      </c>
      <c r="E15" s="25" t="n">
        <v>20000</v>
      </c>
      <c r="F15" s="25" t="n">
        <f aca="false">SUM(B15:E15)</f>
        <v>50000</v>
      </c>
    </row>
    <row r="16" customFormat="false" ht="15" hidden="false" customHeight="false" outlineLevel="0" collapsed="false">
      <c r="A16" s="16" t="s">
        <v>35</v>
      </c>
      <c r="B16" s="17" t="n">
        <f aca="false">B14+B15</f>
        <v>4588500</v>
      </c>
      <c r="C16" s="17" t="n">
        <f aca="false">C14+C15</f>
        <v>5365000</v>
      </c>
      <c r="D16" s="17" t="n">
        <f aca="false">D14+D15</f>
        <v>5903000</v>
      </c>
      <c r="E16" s="17" t="n">
        <f aca="false">E14+E15</f>
        <v>7015000</v>
      </c>
      <c r="F16" s="17" t="n">
        <f aca="false">F14+F15</f>
        <v>22871500</v>
      </c>
    </row>
    <row r="17" customFormat="false" ht="15" hidden="false" customHeight="false" outlineLevel="0" collapsed="false">
      <c r="A17" s="14" t="s">
        <v>36</v>
      </c>
      <c r="B17" s="15" t="n">
        <f aca="false">B16*0.09</f>
        <v>412965</v>
      </c>
      <c r="C17" s="15" t="n">
        <f aca="false">C16*0.09</f>
        <v>482850</v>
      </c>
      <c r="D17" s="15" t="n">
        <f aca="false">D16*0.09</f>
        <v>531270</v>
      </c>
      <c r="E17" s="15" t="n">
        <f aca="false">E16*0.09</f>
        <v>631350</v>
      </c>
      <c r="F17" s="15" t="n">
        <f aca="false">F16*0.09</f>
        <v>2058435</v>
      </c>
    </row>
    <row r="18" customFormat="false" ht="15" hidden="false" customHeight="false" outlineLevel="0" collapsed="false">
      <c r="A18" s="26" t="s">
        <v>5</v>
      </c>
      <c r="B18" s="27" t="n">
        <f aca="false">B16-B17</f>
        <v>4175535</v>
      </c>
      <c r="C18" s="27" t="n">
        <f aca="false">C16-C17</f>
        <v>4882150</v>
      </c>
      <c r="D18" s="27" t="n">
        <f aca="false">D16-D17</f>
        <v>5371730</v>
      </c>
      <c r="E18" s="27" t="n">
        <f aca="false">E16-E17</f>
        <v>6383650</v>
      </c>
      <c r="F18" s="27" t="n">
        <f aca="false">F16-F17</f>
        <v>20813065</v>
      </c>
    </row>
    <row r="20" customFormat="false" ht="15" hidden="false" customHeight="false" outlineLevel="0" collapsed="false">
      <c r="A20" s="14" t="s">
        <v>37</v>
      </c>
      <c r="B20" s="28" t="n">
        <f aca="false">B12/B6</f>
        <v>0.466686077546465</v>
      </c>
      <c r="C20" s="28" t="n">
        <f aca="false">C12/C6</f>
        <v>0.488402625820569</v>
      </c>
      <c r="D20" s="28" t="n">
        <f aca="false">D12/D6</f>
        <v>0.511205887272119</v>
      </c>
      <c r="E20" s="28" t="n">
        <f aca="false">E12/E6</f>
        <v>0.543470079036507</v>
      </c>
      <c r="F20" s="28" t="n">
        <f aca="false">F12/F6</f>
        <v>0.505019000883515</v>
      </c>
    </row>
    <row r="21" customFormat="false" ht="15" hidden="false" customHeight="false" outlineLevel="0" collapsed="false">
      <c r="A21" s="14" t="s">
        <v>38</v>
      </c>
      <c r="B21" s="28" t="n">
        <f aca="false">B18/B6</f>
        <v>0.405254039889358</v>
      </c>
      <c r="C21" s="28" t="n">
        <f aca="false">C18/C6</f>
        <v>0.427321663019694</v>
      </c>
      <c r="D21" s="28" t="n">
        <f aca="false">D18/D6</f>
        <v>0.449216424151196</v>
      </c>
      <c r="E21" s="28" t="n">
        <f aca="false">E18/E6</f>
        <v>0.480515619119308</v>
      </c>
      <c r="F21" s="28" t="n">
        <f aca="false">F18/F6</f>
        <v>0.44309985842479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22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39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19" t="s">
        <v>40</v>
      </c>
      <c r="B3" s="19"/>
      <c r="C3" s="19"/>
      <c r="D3" s="19"/>
      <c r="E3" s="19"/>
      <c r="F3" s="19"/>
    </row>
    <row r="5" customFormat="false" ht="24" hidden="false" customHeight="true" outlineLevel="0" collapsed="false">
      <c r="A5" s="13" t="s">
        <v>25</v>
      </c>
      <c r="B5" s="13" t="s">
        <v>16</v>
      </c>
      <c r="C5" s="13" t="s">
        <v>17</v>
      </c>
      <c r="D5" s="13" t="s">
        <v>18</v>
      </c>
      <c r="E5" s="13" t="s">
        <v>19</v>
      </c>
      <c r="F5" s="13" t="s">
        <v>20</v>
      </c>
    </row>
    <row r="6" customFormat="false" ht="15" hidden="false" customHeight="false" outlineLevel="0" collapsed="false">
      <c r="A6" s="23" t="s">
        <v>41</v>
      </c>
      <c r="B6" s="24"/>
      <c r="C6" s="24"/>
      <c r="D6" s="24"/>
      <c r="E6" s="24"/>
      <c r="F6" s="24"/>
    </row>
    <row r="7" customFormat="false" ht="15" hidden="false" customHeight="false" outlineLevel="0" collapsed="false">
      <c r="A7" s="14" t="s">
        <v>42</v>
      </c>
      <c r="B7" s="15" t="n">
        <f aca="false">Eredménykimutatás!B18</f>
        <v>4175535</v>
      </c>
      <c r="C7" s="15" t="n">
        <f aca="false">Eredménykimutatás!C18</f>
        <v>4882150</v>
      </c>
      <c r="D7" s="15" t="n">
        <f aca="false">Eredménykimutatás!D18</f>
        <v>5371730</v>
      </c>
      <c r="E7" s="15" t="n">
        <f aca="false">Eredménykimutatás!E18</f>
        <v>6383650</v>
      </c>
      <c r="F7" s="15" t="n">
        <f aca="false">Eredménykimutatás!F18</f>
        <v>20813065</v>
      </c>
    </row>
    <row r="8" customFormat="false" ht="15" hidden="false" customHeight="false" outlineLevel="0" collapsed="false">
      <c r="A8" s="14" t="s">
        <v>43</v>
      </c>
      <c r="B8" s="15" t="n">
        <f aca="false">Eredménykimutatás!B13</f>
        <v>225000</v>
      </c>
      <c r="C8" s="15" t="n">
        <f aca="false">Eredménykimutatás!C13</f>
        <v>225000</v>
      </c>
      <c r="D8" s="15" t="n">
        <f aca="false">Eredménykimutatás!D13</f>
        <v>225000</v>
      </c>
      <c r="E8" s="15" t="n">
        <f aca="false">Eredménykimutatás!E13</f>
        <v>225000</v>
      </c>
      <c r="F8" s="15" t="n">
        <f aca="false">Eredménykimutatás!F13</f>
        <v>900000</v>
      </c>
    </row>
    <row r="9" customFormat="false" ht="15" hidden="false" customHeight="false" outlineLevel="0" collapsed="false">
      <c r="A9" s="14" t="s">
        <v>44</v>
      </c>
      <c r="B9" s="25" t="n">
        <v>-350000</v>
      </c>
      <c r="C9" s="25" t="n">
        <v>-300000</v>
      </c>
      <c r="D9" s="25" t="n">
        <v>-280000</v>
      </c>
      <c r="E9" s="25" t="n">
        <v>-420000</v>
      </c>
      <c r="F9" s="25" t="n">
        <f aca="false">SUM(B9:E9)</f>
        <v>-1350000</v>
      </c>
    </row>
    <row r="10" customFormat="false" ht="15" hidden="false" customHeight="false" outlineLevel="0" collapsed="false">
      <c r="A10" s="14" t="s">
        <v>45</v>
      </c>
      <c r="B10" s="25" t="n">
        <v>150000</v>
      </c>
      <c r="C10" s="25" t="n">
        <v>130000</v>
      </c>
      <c r="D10" s="25" t="n">
        <v>140000</v>
      </c>
      <c r="E10" s="25" t="n">
        <v>160000</v>
      </c>
      <c r="F10" s="25" t="n">
        <f aca="false">SUM(B10:E10)</f>
        <v>580000</v>
      </c>
    </row>
    <row r="11" customFormat="false" ht="15" hidden="false" customHeight="false" outlineLevel="0" collapsed="false">
      <c r="A11" s="14" t="s">
        <v>46</v>
      </c>
      <c r="B11" s="25" t="n">
        <v>20000</v>
      </c>
      <c r="C11" s="25" t="n">
        <v>15000</v>
      </c>
      <c r="D11" s="25" t="n">
        <v>10000</v>
      </c>
      <c r="E11" s="25" t="n">
        <v>25000</v>
      </c>
      <c r="F11" s="25" t="n">
        <f aca="false">SUM(B11:E11)</f>
        <v>70000</v>
      </c>
    </row>
    <row r="12" customFormat="false" ht="15" hidden="false" customHeight="false" outlineLevel="0" collapsed="false">
      <c r="A12" s="29" t="s">
        <v>47</v>
      </c>
      <c r="B12" s="30" t="n">
        <f aca="false">B9+B10+B11</f>
        <v>-180000</v>
      </c>
      <c r="C12" s="30" t="n">
        <f aca="false">C9+C10+C11</f>
        <v>-155000</v>
      </c>
      <c r="D12" s="30" t="n">
        <f aca="false">D9+D10+D11</f>
        <v>-130000</v>
      </c>
      <c r="E12" s="30" t="n">
        <f aca="false">E9+E10+E11</f>
        <v>-235000</v>
      </c>
      <c r="F12" s="30" t="n">
        <f aca="false">F9+F10+F11</f>
        <v>-700000</v>
      </c>
    </row>
    <row r="13" customFormat="false" ht="15" hidden="false" customHeight="false" outlineLevel="0" collapsed="false">
      <c r="A13" s="20" t="s">
        <v>48</v>
      </c>
      <c r="B13" s="22" t="n">
        <f aca="false">B7+B8+B12</f>
        <v>4220535</v>
      </c>
      <c r="C13" s="22" t="n">
        <f aca="false">C7+C8+C12</f>
        <v>4952150</v>
      </c>
      <c r="D13" s="22" t="n">
        <f aca="false">D7+D8+D12</f>
        <v>5466730</v>
      </c>
      <c r="E13" s="22" t="n">
        <f aca="false">E7+E8+E12</f>
        <v>6373650</v>
      </c>
      <c r="F13" s="22" t="n">
        <f aca="false">F7+F8+F12</f>
        <v>21013065</v>
      </c>
    </row>
    <row r="15" customFormat="false" ht="15" hidden="false" customHeight="false" outlineLevel="0" collapsed="false">
      <c r="A15" s="23" t="s">
        <v>49</v>
      </c>
      <c r="B15" s="24"/>
      <c r="C15" s="24"/>
      <c r="D15" s="24"/>
      <c r="E15" s="24"/>
      <c r="F15" s="24"/>
    </row>
    <row r="16" customFormat="false" ht="15" hidden="false" customHeight="false" outlineLevel="0" collapsed="false">
      <c r="A16" s="14" t="s">
        <v>50</v>
      </c>
      <c r="B16" s="25" t="n">
        <v>-300000</v>
      </c>
      <c r="C16" s="25" t="n">
        <v>-250000</v>
      </c>
      <c r="D16" s="25" t="n">
        <v>-200000</v>
      </c>
      <c r="E16" s="25" t="n">
        <v>-450000</v>
      </c>
      <c r="F16" s="25" t="n">
        <f aca="false">SUM(B16:E16)</f>
        <v>-1200000</v>
      </c>
    </row>
    <row r="17" customFormat="false" ht="15" hidden="false" customHeight="false" outlineLevel="0" collapsed="false">
      <c r="A17" s="16" t="s">
        <v>51</v>
      </c>
      <c r="B17" s="17" t="n">
        <f aca="false">B16</f>
        <v>-300000</v>
      </c>
      <c r="C17" s="17" t="n">
        <f aca="false">C16</f>
        <v>-250000</v>
      </c>
      <c r="D17" s="17" t="n">
        <f aca="false">D16</f>
        <v>-200000</v>
      </c>
      <c r="E17" s="17" t="n">
        <f aca="false">E16</f>
        <v>-450000</v>
      </c>
      <c r="F17" s="17" t="n">
        <f aca="false">F16</f>
        <v>-1200000</v>
      </c>
    </row>
    <row r="19" customFormat="false" ht="15" hidden="false" customHeight="false" outlineLevel="0" collapsed="false">
      <c r="A19" s="23" t="s">
        <v>52</v>
      </c>
      <c r="B19" s="24"/>
      <c r="C19" s="24"/>
      <c r="D19" s="24"/>
      <c r="E19" s="24"/>
      <c r="F19" s="24"/>
    </row>
    <row r="20" customFormat="false" ht="15" hidden="false" customHeight="false" outlineLevel="0" collapsed="false">
      <c r="A20" s="14" t="s">
        <v>53</v>
      </c>
      <c r="B20" s="25" t="n">
        <v>0</v>
      </c>
      <c r="C20" s="25" t="n">
        <v>0</v>
      </c>
      <c r="D20" s="25" t="n">
        <v>0</v>
      </c>
      <c r="E20" s="25" t="n">
        <v>-5000000</v>
      </c>
      <c r="F20" s="25" t="n">
        <f aca="false">SUM(B20:E20)</f>
        <v>-5000000</v>
      </c>
    </row>
    <row r="21" customFormat="false" ht="15" hidden="false" customHeight="false" outlineLevel="0" collapsed="false">
      <c r="A21" s="16" t="s">
        <v>54</v>
      </c>
      <c r="B21" s="17" t="n">
        <f aca="false">B20</f>
        <v>0</v>
      </c>
      <c r="C21" s="17" t="n">
        <f aca="false">C20</f>
        <v>0</v>
      </c>
      <c r="D21" s="17" t="n">
        <f aca="false">D20</f>
        <v>0</v>
      </c>
      <c r="E21" s="17" t="n">
        <f aca="false">E20</f>
        <v>-5000000</v>
      </c>
      <c r="F21" s="17" t="n">
        <f aca="false">F20</f>
        <v>-5000000</v>
      </c>
    </row>
    <row r="23" customFormat="false" ht="15" hidden="false" customHeight="false" outlineLevel="0" collapsed="false">
      <c r="A23" s="26" t="s">
        <v>55</v>
      </c>
      <c r="B23" s="27" t="n">
        <f aca="false">B13+B17+B21</f>
        <v>3920535</v>
      </c>
      <c r="C23" s="27" t="n">
        <f aca="false">C13+C17+C21</f>
        <v>4702150</v>
      </c>
      <c r="D23" s="27" t="n">
        <f aca="false">D13+D17+D21</f>
        <v>5266730</v>
      </c>
      <c r="E23" s="27" t="n">
        <f aca="false">E13+E17+E21</f>
        <v>923650</v>
      </c>
      <c r="F23" s="27" t="n">
        <f aca="false">F13+F17+F21</f>
        <v>14813065</v>
      </c>
    </row>
    <row r="24" customFormat="false" ht="15" hidden="false" customHeight="false" outlineLevel="0" collapsed="false">
      <c r="A24" s="31" t="s">
        <v>56</v>
      </c>
      <c r="B24" s="25" t="n">
        <v>8500000</v>
      </c>
      <c r="C24" s="15" t="n">
        <f aca="false">B25</f>
        <v>12420535</v>
      </c>
      <c r="D24" s="15" t="n">
        <f aca="false">C25</f>
        <v>17122685</v>
      </c>
      <c r="E24" s="15" t="n">
        <f aca="false">D25</f>
        <v>22389415</v>
      </c>
      <c r="F24" s="32" t="n">
        <f aca="false">B24</f>
        <v>8500000</v>
      </c>
    </row>
    <row r="25" customFormat="false" ht="15" hidden="false" customHeight="false" outlineLevel="0" collapsed="false">
      <c r="A25" s="33" t="s">
        <v>7</v>
      </c>
      <c r="B25" s="34" t="n">
        <f aca="false">B24+B23</f>
        <v>12420535</v>
      </c>
      <c r="C25" s="34" t="n">
        <f aca="false">C24+C23</f>
        <v>17122685</v>
      </c>
      <c r="D25" s="34" t="n">
        <f aca="false">D24+D23</f>
        <v>22389415</v>
      </c>
      <c r="E25" s="34" t="n">
        <f aca="false">E24+E23</f>
        <v>23313065</v>
      </c>
      <c r="F25" s="34" t="n">
        <f aca="false">E25</f>
        <v>23313065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57</v>
      </c>
      <c r="B1" s="1"/>
    </row>
    <row r="2" customFormat="false" ht="18" hidden="false" customHeight="true" outlineLevel="0" collapsed="false">
      <c r="A2" s="2" t="s">
        <v>58</v>
      </c>
      <c r="B2" s="2"/>
    </row>
    <row r="4" customFormat="false" ht="15" hidden="false" customHeight="false" outlineLevel="0" collapsed="false">
      <c r="A4" s="13" t="s">
        <v>59</v>
      </c>
      <c r="B4" s="13" t="s">
        <v>60</v>
      </c>
    </row>
    <row r="5" customFormat="false" ht="43.5" hidden="false" customHeight="true" outlineLevel="0" collapsed="false">
      <c r="A5" s="31" t="s">
        <v>61</v>
      </c>
      <c r="B5" s="14" t="s">
        <v>62</v>
      </c>
    </row>
    <row r="6" customFormat="false" ht="43.5" hidden="false" customHeight="true" outlineLevel="0" collapsed="false">
      <c r="A6" s="31" t="s">
        <v>32</v>
      </c>
      <c r="B6" s="14" t="s">
        <v>63</v>
      </c>
    </row>
    <row r="7" customFormat="false" ht="43.5" hidden="false" customHeight="true" outlineLevel="0" collapsed="false">
      <c r="A7" s="31" t="s">
        <v>64</v>
      </c>
      <c r="B7" s="14" t="s">
        <v>65</v>
      </c>
    </row>
    <row r="8" customFormat="false" ht="43.5" hidden="false" customHeight="true" outlineLevel="0" collapsed="false">
      <c r="A8" s="31" t="s">
        <v>66</v>
      </c>
      <c r="B8" s="14" t="s">
        <v>67</v>
      </c>
    </row>
    <row r="9" customFormat="false" ht="43.5" hidden="false" customHeight="true" outlineLevel="0" collapsed="false">
      <c r="A9" s="31" t="s">
        <v>68</v>
      </c>
      <c r="B9" s="14" t="s">
        <v>69</v>
      </c>
    </row>
    <row r="10" customFormat="false" ht="43.5" hidden="false" customHeight="true" outlineLevel="0" collapsed="false">
      <c r="A10" s="31" t="s">
        <v>70</v>
      </c>
      <c r="B10" s="14" t="s">
        <v>71</v>
      </c>
    </row>
    <row r="11" customFormat="false" ht="43.5" hidden="false" customHeight="true" outlineLevel="0" collapsed="false">
      <c r="A11" s="31" t="s">
        <v>72</v>
      </c>
      <c r="B11" s="14" t="s">
        <v>73</v>
      </c>
    </row>
    <row r="12" customFormat="false" ht="43.5" hidden="false" customHeight="true" outlineLevel="0" collapsed="false">
      <c r="A12" s="31" t="s">
        <v>74</v>
      </c>
      <c r="B12" s="14" t="s">
        <v>75</v>
      </c>
    </row>
    <row r="14" customFormat="false" ht="25.5" hidden="false" customHeight="true" outlineLevel="0" collapsed="false">
      <c r="A14" s="18" t="s">
        <v>76</v>
      </c>
      <c r="B14" s="18"/>
    </row>
  </sheetData>
  <mergeCells count="3">
    <mergeCell ref="A1:B1"/>
    <mergeCell ref="A2:B2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2026-09-07T06:59:33Z</dcterms:created>
  <dc:creator>openpyxl</dc:creator>
  <dc:description/>
  <dc:language>en-US</dc:language>
  <cp:lastModifiedBy/>
  <dcterms:modified xsi:type="dcterms:W3CDTF">2026-09-07T06:59:33Z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